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martinmayor/Documents/GitHub/PyCO2SYS/tests/data/"/>
    </mc:Choice>
  </mc:AlternateContent>
  <xr:revisionPtr revIDLastSave="0" documentId="13_ncr:1_{B5A2C1E3-88BE-8C4A-9FA4-0D3113A41B6F}" xr6:coauthVersionLast="47" xr6:coauthVersionMax="47" xr10:uidLastSave="{00000000-0000-0000-0000-000000000000}"/>
  <bookViews>
    <workbookView xWindow="31920" yWindow="1420" windowWidth="30240" windowHeight="17720" xr2:uid="{B2481E8B-EA4F-4066-A8F8-C1A82EF64A36}"/>
  </bookViews>
  <sheets>
    <sheet name="Sheet1" sheetId="1" r:id="rId1"/>
    <sheet name="model1" sheetId="2" r:id="rId2"/>
    <sheet name="model2" sheetId="3" r:id="rId3"/>
    <sheet name="model2_mac" sheetId="4" r:id="rId4"/>
    <sheet name="model3" sheetId="5" r:id="rId5"/>
  </sheets>
  <definedNames>
    <definedName name="_xlnm._FilterDatabase" localSheetId="0" hidden="1">Sheet1!$A$1:$N$117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R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2" i="1"/>
  <c r="U3" i="1"/>
  <c r="V3" i="1" s="1"/>
  <c r="U4" i="1"/>
  <c r="V4" i="1" s="1"/>
  <c r="U5" i="1"/>
  <c r="V5" i="1" s="1"/>
  <c r="U6" i="1"/>
  <c r="V6" i="1" s="1"/>
  <c r="U7" i="1"/>
  <c r="V7" i="1" s="1"/>
  <c r="U8" i="1"/>
  <c r="V8" i="1" s="1"/>
  <c r="U9" i="1"/>
  <c r="V9" i="1" s="1"/>
  <c r="U10" i="1"/>
  <c r="V10" i="1" s="1"/>
  <c r="U12" i="1"/>
  <c r="V12" i="1" s="1"/>
  <c r="U13" i="1"/>
  <c r="V13" i="1" s="1"/>
  <c r="U14" i="1"/>
  <c r="V14" i="1" s="1"/>
  <c r="U15" i="1"/>
  <c r="V15" i="1" s="1"/>
  <c r="U16" i="1"/>
  <c r="V16" i="1" s="1"/>
  <c r="U17" i="1"/>
  <c r="V17" i="1" s="1"/>
  <c r="U18" i="1"/>
  <c r="V18" i="1" s="1"/>
  <c r="U19" i="1"/>
  <c r="V19" i="1" s="1"/>
  <c r="U20" i="1"/>
  <c r="V20" i="1" s="1"/>
  <c r="U21" i="1"/>
  <c r="V21" i="1" s="1"/>
  <c r="U22" i="1"/>
  <c r="V22" i="1"/>
  <c r="U23" i="1"/>
  <c r="V23" i="1" s="1"/>
  <c r="U24" i="1"/>
  <c r="V24" i="1" s="1"/>
  <c r="U25" i="1"/>
  <c r="V25" i="1" s="1"/>
  <c r="U26" i="1"/>
  <c r="V26" i="1" s="1"/>
  <c r="U27" i="1"/>
  <c r="V27" i="1" s="1"/>
  <c r="U28" i="1"/>
  <c r="V28" i="1" s="1"/>
  <c r="U29" i="1"/>
  <c r="V29" i="1" s="1"/>
  <c r="U30" i="1"/>
  <c r="V30" i="1" s="1"/>
  <c r="U31" i="1"/>
  <c r="V31" i="1" s="1"/>
  <c r="U32" i="1"/>
  <c r="V32" i="1" s="1"/>
  <c r="U33" i="1"/>
  <c r="V33" i="1" s="1"/>
  <c r="U34" i="1"/>
  <c r="V34" i="1" s="1"/>
  <c r="U35" i="1"/>
  <c r="V35" i="1" s="1"/>
  <c r="U36" i="1"/>
  <c r="V36" i="1" s="1"/>
  <c r="U37" i="1"/>
  <c r="V37" i="1" s="1"/>
  <c r="U38" i="1"/>
  <c r="V38" i="1" s="1"/>
  <c r="U39" i="1"/>
  <c r="V39" i="1" s="1"/>
  <c r="U40" i="1"/>
  <c r="V40" i="1" s="1"/>
  <c r="U41" i="1"/>
  <c r="V41" i="1" s="1"/>
  <c r="U42" i="1"/>
  <c r="V42" i="1" s="1"/>
  <c r="U43" i="1"/>
  <c r="V43" i="1" s="1"/>
  <c r="U44" i="1"/>
  <c r="V44" i="1" s="1"/>
  <c r="U46" i="1"/>
  <c r="V46" i="1" s="1"/>
  <c r="U47" i="1"/>
  <c r="V47" i="1" s="1"/>
  <c r="U48" i="1"/>
  <c r="V48" i="1" s="1"/>
  <c r="U49" i="1"/>
  <c r="V49" i="1" s="1"/>
  <c r="U50" i="1"/>
  <c r="V50" i="1" s="1"/>
  <c r="U51" i="1"/>
  <c r="V51" i="1" s="1"/>
  <c r="U52" i="1"/>
  <c r="V52" i="1" s="1"/>
  <c r="U53" i="1"/>
  <c r="V53" i="1" s="1"/>
  <c r="U54" i="1"/>
  <c r="V54" i="1" s="1"/>
  <c r="U55" i="1"/>
  <c r="V55" i="1" s="1"/>
  <c r="U56" i="1"/>
  <c r="V56" i="1"/>
  <c r="U57" i="1"/>
  <c r="V57" i="1" s="1"/>
  <c r="U58" i="1"/>
  <c r="V58" i="1" s="1"/>
  <c r="U59" i="1"/>
  <c r="V59" i="1" s="1"/>
  <c r="U60" i="1"/>
  <c r="V60" i="1" s="1"/>
  <c r="U61" i="1"/>
  <c r="V61" i="1" s="1"/>
  <c r="U62" i="1"/>
  <c r="V62" i="1"/>
  <c r="U63" i="1"/>
  <c r="V63" i="1" s="1"/>
  <c r="U64" i="1"/>
  <c r="V64" i="1" s="1"/>
  <c r="U65" i="1"/>
  <c r="V65" i="1" s="1"/>
  <c r="U66" i="1"/>
  <c r="V66" i="1" s="1"/>
  <c r="U67" i="1"/>
  <c r="V67" i="1" s="1"/>
  <c r="U68" i="1"/>
  <c r="V68" i="1" s="1"/>
  <c r="U69" i="1"/>
  <c r="V69" i="1" s="1"/>
  <c r="U70" i="1"/>
  <c r="V70" i="1"/>
  <c r="U71" i="1"/>
  <c r="V71" i="1" s="1"/>
  <c r="U72" i="1"/>
  <c r="V72" i="1" s="1"/>
  <c r="U73" i="1"/>
  <c r="V73" i="1" s="1"/>
  <c r="U74" i="1"/>
  <c r="V74" i="1" s="1"/>
  <c r="U75" i="1"/>
  <c r="V75" i="1" s="1"/>
  <c r="U76" i="1"/>
  <c r="V76" i="1" s="1"/>
  <c r="U77" i="1"/>
  <c r="V77" i="1" s="1"/>
  <c r="U78" i="1"/>
  <c r="V78" i="1" s="1"/>
  <c r="U79" i="1"/>
  <c r="V79" i="1" s="1"/>
  <c r="U80" i="1"/>
  <c r="V80" i="1" s="1"/>
  <c r="U81" i="1"/>
  <c r="V81" i="1" s="1"/>
  <c r="U82" i="1"/>
  <c r="V82" i="1" s="1"/>
  <c r="U83" i="1"/>
  <c r="V83" i="1" s="1"/>
  <c r="U84" i="1"/>
  <c r="V84" i="1" s="1"/>
  <c r="U85" i="1"/>
  <c r="V85" i="1" s="1"/>
  <c r="U86" i="1"/>
  <c r="V86" i="1" s="1"/>
  <c r="U87" i="1"/>
  <c r="V87" i="1" s="1"/>
  <c r="U88" i="1"/>
  <c r="V88" i="1" s="1"/>
  <c r="U89" i="1"/>
  <c r="V89" i="1" s="1"/>
  <c r="U90" i="1"/>
  <c r="V90" i="1" s="1"/>
  <c r="U91" i="1"/>
  <c r="V91" i="1" s="1"/>
  <c r="U92" i="1"/>
  <c r="V92" i="1" s="1"/>
  <c r="U93" i="1"/>
  <c r="V93" i="1" s="1"/>
  <c r="U94" i="1"/>
  <c r="V94" i="1"/>
  <c r="U95" i="1"/>
  <c r="V95" i="1" s="1"/>
  <c r="U96" i="1"/>
  <c r="V96" i="1" s="1"/>
  <c r="U97" i="1"/>
  <c r="V97" i="1" s="1"/>
  <c r="U98" i="1"/>
  <c r="V98" i="1" s="1"/>
  <c r="U99" i="1"/>
  <c r="V99" i="1" s="1"/>
  <c r="U100" i="1"/>
  <c r="V100" i="1"/>
  <c r="U101" i="1"/>
  <c r="V101" i="1" s="1"/>
  <c r="U102" i="1"/>
  <c r="V102" i="1" s="1"/>
  <c r="U103" i="1"/>
  <c r="V103" i="1" s="1"/>
  <c r="U104" i="1"/>
  <c r="V104" i="1" s="1"/>
  <c r="U105" i="1"/>
  <c r="V105" i="1" s="1"/>
  <c r="U106" i="1"/>
  <c r="V106" i="1" s="1"/>
  <c r="U107" i="1"/>
  <c r="V107" i="1" s="1"/>
  <c r="U108" i="1"/>
  <c r="V108" i="1" s="1"/>
  <c r="U109" i="1"/>
  <c r="V109" i="1" s="1"/>
  <c r="U110" i="1"/>
  <c r="V110" i="1" s="1"/>
  <c r="U111" i="1"/>
  <c r="V111" i="1" s="1"/>
  <c r="U112" i="1"/>
  <c r="V112" i="1" s="1"/>
  <c r="U113" i="1"/>
  <c r="V113" i="1" s="1"/>
  <c r="U114" i="1"/>
  <c r="V114" i="1"/>
  <c r="U115" i="1"/>
  <c r="V115" i="1" s="1"/>
  <c r="U116" i="1"/>
  <c r="V116" i="1" s="1"/>
  <c r="U117" i="1"/>
  <c r="V117" i="1" s="1"/>
  <c r="U2" i="1"/>
  <c r="V2" i="1" s="1"/>
  <c r="T3" i="1" l="1"/>
  <c r="S4" i="1"/>
  <c r="T4" i="1" s="1"/>
  <c r="S5" i="1"/>
  <c r="T5" i="1" s="1"/>
  <c r="S6" i="1"/>
  <c r="T6" i="1" s="1"/>
  <c r="S7" i="1"/>
  <c r="T7" i="1" s="1"/>
  <c r="S8" i="1"/>
  <c r="T8" i="1" s="1"/>
  <c r="S9" i="1"/>
  <c r="T9" i="1" s="1"/>
  <c r="S10" i="1"/>
  <c r="T10" i="1" s="1"/>
  <c r="S12" i="1"/>
  <c r="T12" i="1" s="1"/>
  <c r="S13" i="1"/>
  <c r="T13" i="1" s="1"/>
  <c r="S14" i="1"/>
  <c r="T14" i="1" s="1"/>
  <c r="S15" i="1"/>
  <c r="T15" i="1" s="1"/>
  <c r="S16" i="1"/>
  <c r="T16" i="1" s="1"/>
  <c r="S17" i="1"/>
  <c r="T17" i="1" s="1"/>
  <c r="S18" i="1"/>
  <c r="T18" i="1" s="1"/>
  <c r="S19" i="1"/>
  <c r="T19" i="1" s="1"/>
  <c r="S20" i="1"/>
  <c r="T20" i="1" s="1"/>
  <c r="S21" i="1"/>
  <c r="T21" i="1" s="1"/>
  <c r="S22" i="1"/>
  <c r="T22" i="1" s="1"/>
  <c r="S23" i="1"/>
  <c r="T23" i="1" s="1"/>
  <c r="S24" i="1"/>
  <c r="T24" i="1" s="1"/>
  <c r="S25" i="1"/>
  <c r="T25" i="1" s="1"/>
  <c r="S26" i="1"/>
  <c r="T26" i="1" s="1"/>
  <c r="S27" i="1"/>
  <c r="T27" i="1" s="1"/>
  <c r="S28" i="1"/>
  <c r="T28" i="1" s="1"/>
  <c r="S29" i="1"/>
  <c r="T29" i="1" s="1"/>
  <c r="S30" i="1"/>
  <c r="T30" i="1" s="1"/>
  <c r="S31" i="1"/>
  <c r="T31" i="1" s="1"/>
  <c r="S32" i="1"/>
  <c r="T32" i="1" s="1"/>
  <c r="S33" i="1"/>
  <c r="T33" i="1" s="1"/>
  <c r="S34" i="1"/>
  <c r="T34" i="1" s="1"/>
  <c r="S35" i="1"/>
  <c r="T35" i="1" s="1"/>
  <c r="S36" i="1"/>
  <c r="T36" i="1" s="1"/>
  <c r="S37" i="1"/>
  <c r="T37" i="1" s="1"/>
  <c r="S38" i="1"/>
  <c r="T38" i="1" s="1"/>
  <c r="S39" i="1"/>
  <c r="T39" i="1" s="1"/>
  <c r="S40" i="1"/>
  <c r="T40" i="1" s="1"/>
  <c r="S41" i="1"/>
  <c r="T41" i="1" s="1"/>
  <c r="S42" i="1"/>
  <c r="T42" i="1" s="1"/>
  <c r="S43" i="1"/>
  <c r="T43" i="1" s="1"/>
  <c r="S44" i="1"/>
  <c r="T44" i="1" s="1"/>
  <c r="S46" i="1"/>
  <c r="T46" i="1" s="1"/>
  <c r="S47" i="1"/>
  <c r="T47" i="1" s="1"/>
  <c r="S48" i="1"/>
  <c r="T48" i="1" s="1"/>
  <c r="S49" i="1"/>
  <c r="T49" i="1" s="1"/>
  <c r="S50" i="1"/>
  <c r="T50" i="1" s="1"/>
  <c r="S51" i="1"/>
  <c r="T51" i="1" s="1"/>
  <c r="S52" i="1"/>
  <c r="T52" i="1" s="1"/>
  <c r="S53" i="1"/>
  <c r="T53" i="1" s="1"/>
  <c r="S54" i="1"/>
  <c r="T54" i="1" s="1"/>
  <c r="S55" i="1"/>
  <c r="T55" i="1" s="1"/>
  <c r="S56" i="1"/>
  <c r="T56" i="1" s="1"/>
  <c r="S57" i="1"/>
  <c r="T57" i="1" s="1"/>
  <c r="S58" i="1"/>
  <c r="T58" i="1" s="1"/>
  <c r="S59" i="1"/>
  <c r="T59" i="1" s="1"/>
  <c r="S60" i="1"/>
  <c r="T60" i="1" s="1"/>
  <c r="S61" i="1"/>
  <c r="T61" i="1" s="1"/>
  <c r="S62" i="1"/>
  <c r="T62" i="1" s="1"/>
  <c r="S63" i="1"/>
  <c r="T63" i="1" s="1"/>
  <c r="S64" i="1"/>
  <c r="T64" i="1" s="1"/>
  <c r="S65" i="1"/>
  <c r="T65" i="1" s="1"/>
  <c r="S66" i="1"/>
  <c r="T66" i="1" s="1"/>
  <c r="S67" i="1"/>
  <c r="T67" i="1" s="1"/>
  <c r="S68" i="1"/>
  <c r="T68" i="1" s="1"/>
  <c r="S69" i="1"/>
  <c r="T69" i="1" s="1"/>
  <c r="S70" i="1"/>
  <c r="T70" i="1" s="1"/>
  <c r="S71" i="1"/>
  <c r="T71" i="1" s="1"/>
  <c r="S72" i="1"/>
  <c r="T72" i="1" s="1"/>
  <c r="S73" i="1"/>
  <c r="T73" i="1" s="1"/>
  <c r="S74" i="1"/>
  <c r="T74" i="1" s="1"/>
  <c r="S75" i="1"/>
  <c r="T75" i="1" s="1"/>
  <c r="S76" i="1"/>
  <c r="T76" i="1" s="1"/>
  <c r="S77" i="1"/>
  <c r="T77" i="1" s="1"/>
  <c r="S78" i="1"/>
  <c r="T78" i="1" s="1"/>
  <c r="S79" i="1"/>
  <c r="T79" i="1" s="1"/>
  <c r="S80" i="1"/>
  <c r="T80" i="1" s="1"/>
  <c r="S81" i="1"/>
  <c r="T81" i="1" s="1"/>
  <c r="S82" i="1"/>
  <c r="T82" i="1" s="1"/>
  <c r="S83" i="1"/>
  <c r="T83" i="1" s="1"/>
  <c r="S84" i="1"/>
  <c r="T84" i="1" s="1"/>
  <c r="S85" i="1"/>
  <c r="T85" i="1" s="1"/>
  <c r="S86" i="1"/>
  <c r="T86" i="1" s="1"/>
  <c r="S87" i="1"/>
  <c r="T87" i="1" s="1"/>
  <c r="S88" i="1"/>
  <c r="T88" i="1" s="1"/>
  <c r="S89" i="1"/>
  <c r="T89" i="1" s="1"/>
  <c r="S90" i="1"/>
  <c r="T90" i="1" s="1"/>
  <c r="S91" i="1"/>
  <c r="T91" i="1" s="1"/>
  <c r="S92" i="1"/>
  <c r="T92" i="1" s="1"/>
  <c r="S93" i="1"/>
  <c r="T93" i="1" s="1"/>
  <c r="S94" i="1"/>
  <c r="T94" i="1" s="1"/>
  <c r="S95" i="1"/>
  <c r="T95" i="1" s="1"/>
  <c r="S96" i="1"/>
  <c r="T96" i="1" s="1"/>
  <c r="S97" i="1"/>
  <c r="T97" i="1" s="1"/>
  <c r="S98" i="1"/>
  <c r="T98" i="1" s="1"/>
  <c r="S99" i="1"/>
  <c r="T99" i="1" s="1"/>
  <c r="S100" i="1"/>
  <c r="T100" i="1" s="1"/>
  <c r="S101" i="1"/>
  <c r="T101" i="1" s="1"/>
  <c r="S102" i="1"/>
  <c r="T102" i="1" s="1"/>
  <c r="S103" i="1"/>
  <c r="T103" i="1" s="1"/>
  <c r="S104" i="1"/>
  <c r="T104" i="1" s="1"/>
  <c r="S105" i="1"/>
  <c r="T105" i="1" s="1"/>
  <c r="S106" i="1"/>
  <c r="T106" i="1" s="1"/>
  <c r="S107" i="1"/>
  <c r="T107" i="1" s="1"/>
  <c r="S108" i="1"/>
  <c r="T108" i="1" s="1"/>
  <c r="S109" i="1"/>
  <c r="T109" i="1" s="1"/>
  <c r="S110" i="1"/>
  <c r="T110" i="1" s="1"/>
  <c r="S111" i="1"/>
  <c r="T111" i="1" s="1"/>
  <c r="S112" i="1"/>
  <c r="T112" i="1" s="1"/>
  <c r="S113" i="1"/>
  <c r="T113" i="1" s="1"/>
  <c r="S114" i="1"/>
  <c r="T114" i="1" s="1"/>
  <c r="S115" i="1"/>
  <c r="T115" i="1" s="1"/>
  <c r="S116" i="1"/>
  <c r="T116" i="1" s="1"/>
  <c r="S117" i="1"/>
  <c r="T117" i="1" s="1"/>
  <c r="S2" i="1"/>
  <c r="T2" i="1" s="1"/>
  <c r="S5" i="5"/>
  <c r="S6" i="5"/>
  <c r="S13" i="5"/>
  <c r="S14" i="5"/>
  <c r="S17" i="5"/>
  <c r="S18" i="5"/>
  <c r="S25" i="5"/>
  <c r="S26" i="5"/>
  <c r="S30" i="5"/>
  <c r="S34" i="5"/>
  <c r="S37" i="5"/>
  <c r="S38" i="5"/>
  <c r="S41" i="5"/>
  <c r="S42" i="5"/>
  <c r="S45" i="5"/>
  <c r="S46" i="5"/>
  <c r="S49" i="5"/>
  <c r="S50" i="5"/>
  <c r="S52" i="5"/>
  <c r="S53" i="5"/>
  <c r="S54" i="5"/>
  <c r="S57" i="5"/>
  <c r="S58" i="5"/>
  <c r="S61" i="5"/>
  <c r="S62" i="5"/>
  <c r="S69" i="5"/>
  <c r="S70" i="5"/>
  <c r="S72" i="5"/>
  <c r="S74" i="5"/>
  <c r="S76" i="5"/>
  <c r="S78" i="5"/>
  <c r="S81" i="5"/>
  <c r="S82" i="5"/>
  <c r="S86" i="5"/>
  <c r="S89" i="5"/>
  <c r="S90" i="5"/>
  <c r="S94" i="5"/>
  <c r="S98" i="5"/>
  <c r="S102" i="5"/>
  <c r="S105" i="5"/>
  <c r="S106" i="5"/>
  <c r="S110" i="5"/>
  <c r="S113" i="5"/>
  <c r="S114" i="5"/>
  <c r="S117" i="5"/>
  <c r="S9" i="5"/>
  <c r="S10" i="5"/>
  <c r="S22" i="5"/>
  <c r="S33" i="5"/>
  <c r="S43" i="5"/>
  <c r="S51" i="5"/>
  <c r="S63" i="5"/>
  <c r="S77" i="5"/>
  <c r="S83" i="5"/>
  <c r="S85" i="5"/>
  <c r="S95" i="5"/>
  <c r="S97" i="5"/>
  <c r="S107" i="5"/>
  <c r="S21" i="5"/>
  <c r="S29" i="5"/>
  <c r="S65" i="5"/>
  <c r="S66" i="5"/>
  <c r="S101" i="5"/>
  <c r="S8" i="5"/>
  <c r="S16" i="5"/>
  <c r="S20" i="5"/>
  <c r="S24" i="5"/>
  <c r="S32" i="5"/>
  <c r="S60" i="5"/>
  <c r="S73" i="5"/>
  <c r="S92" i="5"/>
  <c r="S93" i="5"/>
  <c r="S100" i="5"/>
  <c r="S84" i="5"/>
  <c r="S104" i="5"/>
  <c r="S2" i="5"/>
  <c r="S4" i="5"/>
  <c r="S36" i="5"/>
  <c r="S68" i="5"/>
  <c r="S3" i="5"/>
  <c r="S7" i="5"/>
  <c r="S11" i="5"/>
  <c r="S12" i="5"/>
  <c r="S15" i="5"/>
  <c r="S19" i="5"/>
  <c r="S23" i="5"/>
  <c r="S27" i="5"/>
  <c r="S28" i="5"/>
  <c r="S31" i="5"/>
  <c r="S35" i="5"/>
  <c r="S39" i="5"/>
  <c r="S40" i="5"/>
  <c r="S44" i="5"/>
  <c r="S47" i="5"/>
  <c r="S48" i="5"/>
  <c r="S55" i="5"/>
  <c r="S56" i="5"/>
  <c r="S59" i="5"/>
  <c r="S64" i="5"/>
  <c r="S67" i="5"/>
  <c r="S71" i="5"/>
  <c r="S75" i="5"/>
  <c r="S79" i="5"/>
  <c r="S80" i="5"/>
  <c r="S87" i="5"/>
  <c r="S88" i="5"/>
  <c r="S91" i="5"/>
  <c r="S96" i="5"/>
  <c r="S99" i="5"/>
  <c r="S103" i="5"/>
  <c r="S108" i="5"/>
  <c r="S109" i="5"/>
  <c r="S111" i="5"/>
  <c r="S112" i="5"/>
  <c r="S115" i="5"/>
  <c r="S116" i="5"/>
  <c r="P3" i="5"/>
  <c r="Q3" i="5" s="1"/>
  <c r="P4" i="5"/>
  <c r="Q4" i="5" s="1"/>
  <c r="P5" i="5"/>
  <c r="Q5" i="5" s="1"/>
  <c r="P6" i="5"/>
  <c r="Q6" i="5" s="1"/>
  <c r="P7" i="5"/>
  <c r="Q7" i="5" s="1"/>
  <c r="P8" i="5"/>
  <c r="Q8" i="5" s="1"/>
  <c r="P9" i="5"/>
  <c r="Q9" i="5" s="1"/>
  <c r="P10" i="5"/>
  <c r="Q10" i="5" s="1"/>
  <c r="P11" i="5"/>
  <c r="Q11" i="5" s="1"/>
  <c r="P12" i="5"/>
  <c r="Q12" i="5" s="1"/>
  <c r="P13" i="5"/>
  <c r="Q13" i="5" s="1"/>
  <c r="P14" i="5"/>
  <c r="Q14" i="5" s="1"/>
  <c r="P15" i="5"/>
  <c r="Q15" i="5" s="1"/>
  <c r="P16" i="5"/>
  <c r="Q16" i="5" s="1"/>
  <c r="P17" i="5"/>
  <c r="Q17" i="5" s="1"/>
  <c r="P18" i="5"/>
  <c r="Q18" i="5" s="1"/>
  <c r="P19" i="5"/>
  <c r="Q19" i="5" s="1"/>
  <c r="P20" i="5"/>
  <c r="Q20" i="5" s="1"/>
  <c r="P21" i="5"/>
  <c r="Q21" i="5" s="1"/>
  <c r="P22" i="5"/>
  <c r="Q22" i="5" s="1"/>
  <c r="P23" i="5"/>
  <c r="Q23" i="5" s="1"/>
  <c r="P24" i="5"/>
  <c r="Q24" i="5" s="1"/>
  <c r="P25" i="5"/>
  <c r="Q25" i="5" s="1"/>
  <c r="P26" i="5"/>
  <c r="Q26" i="5" s="1"/>
  <c r="P27" i="5"/>
  <c r="Q27" i="5" s="1"/>
  <c r="P28" i="5"/>
  <c r="Q28" i="5" s="1"/>
  <c r="P29" i="5"/>
  <c r="Q29" i="5" s="1"/>
  <c r="P30" i="5"/>
  <c r="Q30" i="5" s="1"/>
  <c r="P31" i="5"/>
  <c r="Q31" i="5" s="1"/>
  <c r="P32" i="5"/>
  <c r="Q32" i="5" s="1"/>
  <c r="P33" i="5"/>
  <c r="Q33" i="5" s="1"/>
  <c r="P34" i="5"/>
  <c r="Q34" i="5" s="1"/>
  <c r="P35" i="5"/>
  <c r="Q35" i="5" s="1"/>
  <c r="P36" i="5"/>
  <c r="Q36" i="5" s="1"/>
  <c r="P37" i="5"/>
  <c r="Q37" i="5" s="1"/>
  <c r="P38" i="5"/>
  <c r="Q38" i="5" s="1"/>
  <c r="P39" i="5"/>
  <c r="Q39" i="5" s="1"/>
  <c r="P40" i="5"/>
  <c r="Q40" i="5" s="1"/>
  <c r="P41" i="5"/>
  <c r="Q41" i="5" s="1"/>
  <c r="P42" i="5"/>
  <c r="Q42" i="5" s="1"/>
  <c r="P43" i="5"/>
  <c r="Q43" i="5" s="1"/>
  <c r="P44" i="5"/>
  <c r="Q44" i="5" s="1"/>
  <c r="P45" i="5"/>
  <c r="Q45" i="5" s="1"/>
  <c r="P46" i="5"/>
  <c r="Q46" i="5" s="1"/>
  <c r="P47" i="5"/>
  <c r="Q47" i="5" s="1"/>
  <c r="P48" i="5"/>
  <c r="Q48" i="5" s="1"/>
  <c r="P49" i="5"/>
  <c r="Q49" i="5" s="1"/>
  <c r="P50" i="5"/>
  <c r="Q50" i="5" s="1"/>
  <c r="P51" i="5"/>
  <c r="Q51" i="5" s="1"/>
  <c r="P52" i="5"/>
  <c r="Q52" i="5" s="1"/>
  <c r="P53" i="5"/>
  <c r="Q53" i="5" s="1"/>
  <c r="P54" i="5"/>
  <c r="Q54" i="5" s="1"/>
  <c r="P55" i="5"/>
  <c r="Q55" i="5" s="1"/>
  <c r="P56" i="5"/>
  <c r="Q56" i="5" s="1"/>
  <c r="P57" i="5"/>
  <c r="Q57" i="5" s="1"/>
  <c r="P58" i="5"/>
  <c r="Q58" i="5" s="1"/>
  <c r="P59" i="5"/>
  <c r="Q59" i="5" s="1"/>
  <c r="P60" i="5"/>
  <c r="Q60" i="5" s="1"/>
  <c r="P61" i="5"/>
  <c r="Q61" i="5" s="1"/>
  <c r="P62" i="5"/>
  <c r="Q62" i="5" s="1"/>
  <c r="P63" i="5"/>
  <c r="Q63" i="5" s="1"/>
  <c r="P64" i="5"/>
  <c r="Q64" i="5" s="1"/>
  <c r="P65" i="5"/>
  <c r="Q65" i="5" s="1"/>
  <c r="P66" i="5"/>
  <c r="Q66" i="5" s="1"/>
  <c r="P67" i="5"/>
  <c r="Q67" i="5" s="1"/>
  <c r="P68" i="5"/>
  <c r="Q68" i="5" s="1"/>
  <c r="P69" i="5"/>
  <c r="Q69" i="5" s="1"/>
  <c r="P70" i="5"/>
  <c r="Q70" i="5" s="1"/>
  <c r="P71" i="5"/>
  <c r="Q71" i="5" s="1"/>
  <c r="P72" i="5"/>
  <c r="Q72" i="5" s="1"/>
  <c r="P73" i="5"/>
  <c r="Q73" i="5" s="1"/>
  <c r="P74" i="5"/>
  <c r="Q74" i="5" s="1"/>
  <c r="P75" i="5"/>
  <c r="Q75" i="5" s="1"/>
  <c r="P76" i="5"/>
  <c r="Q76" i="5" s="1"/>
  <c r="P77" i="5"/>
  <c r="Q77" i="5" s="1"/>
  <c r="P78" i="5"/>
  <c r="Q78" i="5" s="1"/>
  <c r="P79" i="5"/>
  <c r="Q79" i="5" s="1"/>
  <c r="P80" i="5"/>
  <c r="Q80" i="5" s="1"/>
  <c r="P81" i="5"/>
  <c r="Q81" i="5" s="1"/>
  <c r="P82" i="5"/>
  <c r="Q82" i="5" s="1"/>
  <c r="P83" i="5"/>
  <c r="Q83" i="5" s="1"/>
  <c r="P84" i="5"/>
  <c r="Q84" i="5" s="1"/>
  <c r="P85" i="5"/>
  <c r="Q85" i="5" s="1"/>
  <c r="P86" i="5"/>
  <c r="Q86" i="5" s="1"/>
  <c r="P87" i="5"/>
  <c r="Q87" i="5" s="1"/>
  <c r="P88" i="5"/>
  <c r="Q88" i="5" s="1"/>
  <c r="P89" i="5"/>
  <c r="Q89" i="5" s="1"/>
  <c r="P90" i="5"/>
  <c r="Q90" i="5" s="1"/>
  <c r="P91" i="5"/>
  <c r="Q91" i="5" s="1"/>
  <c r="P92" i="5"/>
  <c r="Q92" i="5" s="1"/>
  <c r="P93" i="5"/>
  <c r="Q93" i="5" s="1"/>
  <c r="P94" i="5"/>
  <c r="Q94" i="5" s="1"/>
  <c r="P95" i="5"/>
  <c r="Q95" i="5" s="1"/>
  <c r="P96" i="5"/>
  <c r="Q96" i="5" s="1"/>
  <c r="P97" i="5"/>
  <c r="Q97" i="5" s="1"/>
  <c r="P98" i="5"/>
  <c r="Q98" i="5" s="1"/>
  <c r="P99" i="5"/>
  <c r="Q99" i="5" s="1"/>
  <c r="P100" i="5"/>
  <c r="Q100" i="5" s="1"/>
  <c r="P101" i="5"/>
  <c r="Q101" i="5" s="1"/>
  <c r="P102" i="5"/>
  <c r="Q102" i="5" s="1"/>
  <c r="P103" i="5"/>
  <c r="Q103" i="5" s="1"/>
  <c r="P104" i="5"/>
  <c r="Q104" i="5" s="1"/>
  <c r="P105" i="5"/>
  <c r="Q105" i="5" s="1"/>
  <c r="P106" i="5"/>
  <c r="Q106" i="5" s="1"/>
  <c r="P107" i="5"/>
  <c r="Q107" i="5" s="1"/>
  <c r="P108" i="5"/>
  <c r="Q108" i="5" s="1"/>
  <c r="P109" i="5"/>
  <c r="Q109" i="5" s="1"/>
  <c r="P110" i="5"/>
  <c r="Q110" i="5" s="1"/>
  <c r="P111" i="5"/>
  <c r="Q111" i="5" s="1"/>
  <c r="P112" i="5"/>
  <c r="Q112" i="5" s="1"/>
  <c r="P113" i="5"/>
  <c r="Q113" i="5" s="1"/>
  <c r="P114" i="5"/>
  <c r="Q114" i="5" s="1"/>
  <c r="P115" i="5"/>
  <c r="Q115" i="5" s="1"/>
  <c r="P116" i="5"/>
  <c r="Q116" i="5" s="1"/>
  <c r="P117" i="5"/>
  <c r="Q117" i="5" s="1"/>
  <c r="P2" i="5"/>
  <c r="Q2" i="5" s="1"/>
  <c r="Q3" i="1"/>
  <c r="R3" i="1" s="1"/>
  <c r="Q4" i="1"/>
  <c r="R4" i="1" s="1"/>
  <c r="Q5" i="1"/>
  <c r="R5" i="1" s="1"/>
  <c r="Q6" i="1"/>
  <c r="R6" i="1" s="1"/>
  <c r="Q7" i="1"/>
  <c r="R7" i="1" s="1"/>
  <c r="Q8" i="1"/>
  <c r="R8" i="1" s="1"/>
  <c r="Q9" i="1"/>
  <c r="R9" i="1" s="1"/>
  <c r="Q10" i="1"/>
  <c r="R10" i="1" s="1"/>
  <c r="Q12" i="1"/>
  <c r="R12" i="1" s="1"/>
  <c r="Q13" i="1"/>
  <c r="R13" i="1" s="1"/>
  <c r="Q14" i="1"/>
  <c r="R14" i="1" s="1"/>
  <c r="Q15" i="1"/>
  <c r="R15" i="1" s="1"/>
  <c r="Q16" i="1"/>
  <c r="R16" i="1" s="1"/>
  <c r="Q17" i="1"/>
  <c r="R17" i="1" s="1"/>
  <c r="Q18" i="1"/>
  <c r="R18" i="1" s="1"/>
  <c r="Q19" i="1"/>
  <c r="R19" i="1" s="1"/>
  <c r="Q20" i="1"/>
  <c r="R20" i="1" s="1"/>
  <c r="Q21" i="1"/>
  <c r="R21" i="1" s="1"/>
  <c r="Q22" i="1"/>
  <c r="R22" i="1" s="1"/>
  <c r="Q23" i="1"/>
  <c r="R23" i="1" s="1"/>
  <c r="Q24" i="1"/>
  <c r="R24" i="1" s="1"/>
  <c r="Q25" i="1"/>
  <c r="R25" i="1" s="1"/>
  <c r="Q26" i="1"/>
  <c r="R26" i="1" s="1"/>
  <c r="Q27" i="1"/>
  <c r="R27" i="1" s="1"/>
  <c r="Q28" i="1"/>
  <c r="R28" i="1" s="1"/>
  <c r="Q29" i="1"/>
  <c r="R29" i="1" s="1"/>
  <c r="Q30" i="1"/>
  <c r="R30" i="1" s="1"/>
  <c r="Q31" i="1"/>
  <c r="R31" i="1" s="1"/>
  <c r="Q32" i="1"/>
  <c r="R32" i="1" s="1"/>
  <c r="Q33" i="1"/>
  <c r="R33" i="1" s="1"/>
  <c r="Q34" i="1"/>
  <c r="R34" i="1" s="1"/>
  <c r="Q35" i="1"/>
  <c r="R35" i="1" s="1"/>
  <c r="Q36" i="1"/>
  <c r="R36" i="1" s="1"/>
  <c r="Q37" i="1"/>
  <c r="R37" i="1" s="1"/>
  <c r="Q38" i="1"/>
  <c r="R38" i="1" s="1"/>
  <c r="Q39" i="1"/>
  <c r="R39" i="1" s="1"/>
  <c r="Q40" i="1"/>
  <c r="R40" i="1" s="1"/>
  <c r="Q41" i="1"/>
  <c r="R41" i="1" s="1"/>
  <c r="Q42" i="1"/>
  <c r="R42" i="1" s="1"/>
  <c r="Q43" i="1"/>
  <c r="R43" i="1" s="1"/>
  <c r="Q44" i="1"/>
  <c r="R44" i="1" s="1"/>
  <c r="Q46" i="1"/>
  <c r="R46" i="1" s="1"/>
  <c r="Q47" i="1"/>
  <c r="R47" i="1" s="1"/>
  <c r="Q48" i="1"/>
  <c r="R48" i="1" s="1"/>
  <c r="Q49" i="1"/>
  <c r="R49" i="1" s="1"/>
  <c r="Q50" i="1"/>
  <c r="R50" i="1" s="1"/>
  <c r="Q51" i="1"/>
  <c r="R51" i="1" s="1"/>
  <c r="Q52" i="1"/>
  <c r="R52" i="1" s="1"/>
  <c r="Q53" i="1"/>
  <c r="R53" i="1" s="1"/>
  <c r="Q54" i="1"/>
  <c r="R54" i="1" s="1"/>
  <c r="Q55" i="1"/>
  <c r="R55" i="1" s="1"/>
  <c r="Q56" i="1"/>
  <c r="R56" i="1" s="1"/>
  <c r="Q57" i="1"/>
  <c r="R57" i="1" s="1"/>
  <c r="Q58" i="1"/>
  <c r="R58" i="1" s="1"/>
  <c r="Q59" i="1"/>
  <c r="R59" i="1" s="1"/>
  <c r="Q60" i="1"/>
  <c r="R60" i="1" s="1"/>
  <c r="Q61" i="1"/>
  <c r="R61" i="1" s="1"/>
  <c r="Q62" i="1"/>
  <c r="R62" i="1" s="1"/>
  <c r="Q63" i="1"/>
  <c r="R63" i="1" s="1"/>
  <c r="Q64" i="1"/>
  <c r="R64" i="1" s="1"/>
  <c r="Q65" i="1"/>
  <c r="R65" i="1" s="1"/>
  <c r="Q66" i="1"/>
  <c r="R66" i="1" s="1"/>
  <c r="Q67" i="1"/>
  <c r="R67" i="1" s="1"/>
  <c r="Q68" i="1"/>
  <c r="R68" i="1" s="1"/>
  <c r="Q69" i="1"/>
  <c r="R69" i="1" s="1"/>
  <c r="Q70" i="1"/>
  <c r="R70" i="1" s="1"/>
  <c r="Q71" i="1"/>
  <c r="R71" i="1" s="1"/>
  <c r="Q72" i="1"/>
  <c r="R72" i="1" s="1"/>
  <c r="Q73" i="1"/>
  <c r="R73" i="1" s="1"/>
  <c r="Q74" i="1"/>
  <c r="R74" i="1" s="1"/>
  <c r="Q75" i="1"/>
  <c r="R75" i="1" s="1"/>
  <c r="Q76" i="1"/>
  <c r="R76" i="1" s="1"/>
  <c r="Q77" i="1"/>
  <c r="R77" i="1" s="1"/>
  <c r="Q78" i="1"/>
  <c r="R78" i="1" s="1"/>
  <c r="Q79" i="1"/>
  <c r="R79" i="1" s="1"/>
  <c r="Q80" i="1"/>
  <c r="R80" i="1" s="1"/>
  <c r="Q81" i="1"/>
  <c r="R81" i="1" s="1"/>
  <c r="Q82" i="1"/>
  <c r="R82" i="1" s="1"/>
  <c r="Q83" i="1"/>
  <c r="R83" i="1" s="1"/>
  <c r="Q84" i="1"/>
  <c r="R84" i="1" s="1"/>
  <c r="Q85" i="1"/>
  <c r="R85" i="1" s="1"/>
  <c r="Q86" i="1"/>
  <c r="R86" i="1" s="1"/>
  <c r="Q87" i="1"/>
  <c r="R87" i="1" s="1"/>
  <c r="Q88" i="1"/>
  <c r="R88" i="1" s="1"/>
  <c r="Q89" i="1"/>
  <c r="R89" i="1" s="1"/>
  <c r="Q90" i="1"/>
  <c r="R90" i="1" s="1"/>
  <c r="Q91" i="1"/>
  <c r="R91" i="1" s="1"/>
  <c r="Q92" i="1"/>
  <c r="R92" i="1" s="1"/>
  <c r="Q93" i="1"/>
  <c r="R93" i="1" s="1"/>
  <c r="Q94" i="1"/>
  <c r="R94" i="1" s="1"/>
  <c r="Q95" i="1"/>
  <c r="R95" i="1" s="1"/>
  <c r="Q96" i="1"/>
  <c r="R96" i="1" s="1"/>
  <c r="Q97" i="1"/>
  <c r="R97" i="1" s="1"/>
  <c r="Q98" i="1"/>
  <c r="R98" i="1" s="1"/>
  <c r="Q99" i="1"/>
  <c r="R99" i="1" s="1"/>
  <c r="Q100" i="1"/>
  <c r="R100" i="1" s="1"/>
  <c r="Q101" i="1"/>
  <c r="R101" i="1" s="1"/>
  <c r="Q102" i="1"/>
  <c r="R102" i="1" s="1"/>
  <c r="Q103" i="1"/>
  <c r="R103" i="1" s="1"/>
  <c r="Q104" i="1"/>
  <c r="R104" i="1" s="1"/>
  <c r="Q105" i="1"/>
  <c r="R105" i="1" s="1"/>
  <c r="Q106" i="1"/>
  <c r="R106" i="1" s="1"/>
  <c r="Q107" i="1"/>
  <c r="R107" i="1" s="1"/>
  <c r="Q108" i="1"/>
  <c r="R108" i="1" s="1"/>
  <c r="Q109" i="1"/>
  <c r="R109" i="1" s="1"/>
  <c r="Q110" i="1"/>
  <c r="R110" i="1" s="1"/>
  <c r="Q111" i="1"/>
  <c r="R111" i="1" s="1"/>
  <c r="Q112" i="1"/>
  <c r="R112" i="1" s="1"/>
  <c r="Q113" i="1"/>
  <c r="R113" i="1" s="1"/>
  <c r="Q114" i="1"/>
  <c r="R114" i="1" s="1"/>
  <c r="Q115" i="1"/>
  <c r="R115" i="1" s="1"/>
  <c r="Q116" i="1"/>
  <c r="R116" i="1" s="1"/>
  <c r="Q117" i="1"/>
  <c r="R117" i="1" s="1"/>
  <c r="Q2" i="1"/>
  <c r="R2" i="1" s="1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2" i="4"/>
  <c r="Q2" i="4" s="1"/>
  <c r="N2" i="4"/>
  <c r="O107" i="1"/>
  <c r="P107" i="1" s="1"/>
  <c r="M107" i="1"/>
  <c r="N107" i="1" s="1"/>
  <c r="I107" i="1"/>
  <c r="L107" i="1" s="1"/>
  <c r="E107" i="1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2" i="3"/>
  <c r="O3" i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P87" i="1" s="1"/>
  <c r="O88" i="1"/>
  <c r="P88" i="1" s="1"/>
  <c r="O89" i="1"/>
  <c r="P89" i="1" s="1"/>
  <c r="O90" i="1"/>
  <c r="P90" i="1" s="1"/>
  <c r="O91" i="1"/>
  <c r="P91" i="1" s="1"/>
  <c r="O92" i="1"/>
  <c r="P92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P98" i="1" s="1"/>
  <c r="O99" i="1"/>
  <c r="P99" i="1" s="1"/>
  <c r="O100" i="1"/>
  <c r="P100" i="1" s="1"/>
  <c r="O101" i="1"/>
  <c r="P101" i="1" s="1"/>
  <c r="O102" i="1"/>
  <c r="P102" i="1" s="1"/>
  <c r="O103" i="1"/>
  <c r="P103" i="1" s="1"/>
  <c r="O104" i="1"/>
  <c r="P104" i="1" s="1"/>
  <c r="O105" i="1"/>
  <c r="P105" i="1" s="1"/>
  <c r="O106" i="1"/>
  <c r="P106" i="1" s="1"/>
  <c r="O108" i="1"/>
  <c r="P108" i="1" s="1"/>
  <c r="O109" i="1"/>
  <c r="P109" i="1" s="1"/>
  <c r="O110" i="1"/>
  <c r="P110" i="1" s="1"/>
  <c r="O111" i="1"/>
  <c r="P111" i="1" s="1"/>
  <c r="O112" i="1"/>
  <c r="P112" i="1" s="1"/>
  <c r="O113" i="1"/>
  <c r="P113" i="1" s="1"/>
  <c r="O114" i="1"/>
  <c r="P114" i="1" s="1"/>
  <c r="O115" i="1"/>
  <c r="P115" i="1" s="1"/>
  <c r="O116" i="1"/>
  <c r="P116" i="1" s="1"/>
  <c r="O117" i="1"/>
  <c r="P117" i="1" s="1"/>
  <c r="P3" i="1"/>
  <c r="P36" i="1"/>
  <c r="O2" i="1"/>
  <c r="P2" i="1" s="1"/>
  <c r="R3" i="4"/>
  <c r="R4" i="4"/>
  <c r="R5" i="4"/>
  <c r="S5" i="4" s="1"/>
  <c r="R6" i="4"/>
  <c r="S6" i="4" s="1"/>
  <c r="R7" i="4"/>
  <c r="S7" i="4" s="1"/>
  <c r="R8" i="4"/>
  <c r="S8" i="4" s="1"/>
  <c r="R9" i="4"/>
  <c r="S9" i="4" s="1"/>
  <c r="R10" i="4"/>
  <c r="R11" i="4"/>
  <c r="R12" i="4"/>
  <c r="R13" i="4"/>
  <c r="S13" i="4" s="1"/>
  <c r="R14" i="4"/>
  <c r="S14" i="4" s="1"/>
  <c r="R15" i="4"/>
  <c r="R16" i="4"/>
  <c r="S16" i="4" s="1"/>
  <c r="R17" i="4"/>
  <c r="S17" i="4" s="1"/>
  <c r="R18" i="4"/>
  <c r="S18" i="4" s="1"/>
  <c r="R19" i="4"/>
  <c r="R20" i="4"/>
  <c r="R21" i="4"/>
  <c r="R22" i="4"/>
  <c r="S22" i="4" s="1"/>
  <c r="R23" i="4"/>
  <c r="S23" i="4" s="1"/>
  <c r="R24" i="4"/>
  <c r="S24" i="4" s="1"/>
  <c r="R25" i="4"/>
  <c r="S25" i="4" s="1"/>
  <c r="R26" i="4"/>
  <c r="S26" i="4" s="1"/>
  <c r="R27" i="4"/>
  <c r="R28" i="4"/>
  <c r="R29" i="4"/>
  <c r="S29" i="4" s="1"/>
  <c r="R30" i="4"/>
  <c r="S30" i="4" s="1"/>
  <c r="R31" i="4"/>
  <c r="S31" i="4" s="1"/>
  <c r="R32" i="4"/>
  <c r="S32" i="4" s="1"/>
  <c r="R33" i="4"/>
  <c r="S33" i="4" s="1"/>
  <c r="R34" i="4"/>
  <c r="R35" i="4"/>
  <c r="R36" i="4"/>
  <c r="R37" i="4"/>
  <c r="S37" i="4" s="1"/>
  <c r="R38" i="4"/>
  <c r="R39" i="4"/>
  <c r="S39" i="4" s="1"/>
  <c r="R40" i="4"/>
  <c r="S40" i="4" s="1"/>
  <c r="R41" i="4"/>
  <c r="S41" i="4" s="1"/>
  <c r="R42" i="4"/>
  <c r="S42" i="4" s="1"/>
  <c r="R43" i="4"/>
  <c r="R44" i="4"/>
  <c r="R45" i="4"/>
  <c r="S45" i="4" s="1"/>
  <c r="R46" i="4"/>
  <c r="R47" i="4"/>
  <c r="S47" i="4" s="1"/>
  <c r="R48" i="4"/>
  <c r="S48" i="4" s="1"/>
  <c r="R49" i="4"/>
  <c r="S49" i="4" s="1"/>
  <c r="R50" i="4"/>
  <c r="S50" i="4" s="1"/>
  <c r="R51" i="4"/>
  <c r="R52" i="4"/>
  <c r="R53" i="4"/>
  <c r="R54" i="4"/>
  <c r="S54" i="4" s="1"/>
  <c r="R55" i="4"/>
  <c r="S55" i="4" s="1"/>
  <c r="R56" i="4"/>
  <c r="R57" i="4"/>
  <c r="S57" i="4" s="1"/>
  <c r="R58" i="4"/>
  <c r="S58" i="4" s="1"/>
  <c r="R59" i="4"/>
  <c r="R60" i="4"/>
  <c r="R61" i="4"/>
  <c r="S61" i="4" s="1"/>
  <c r="R62" i="4"/>
  <c r="S62" i="4" s="1"/>
  <c r="R63" i="4"/>
  <c r="S63" i="4" s="1"/>
  <c r="R64" i="4"/>
  <c r="S64" i="4" s="1"/>
  <c r="R65" i="4"/>
  <c r="S65" i="4" s="1"/>
  <c r="R66" i="4"/>
  <c r="S66" i="4" s="1"/>
  <c r="R67" i="4"/>
  <c r="R68" i="4"/>
  <c r="R69" i="4"/>
  <c r="R70" i="4"/>
  <c r="R71" i="4"/>
  <c r="S71" i="4" s="1"/>
  <c r="R72" i="4"/>
  <c r="S72" i="4" s="1"/>
  <c r="R73" i="4"/>
  <c r="S73" i="4" s="1"/>
  <c r="R74" i="4"/>
  <c r="S74" i="4" s="1"/>
  <c r="R75" i="4"/>
  <c r="R76" i="4"/>
  <c r="R77" i="4"/>
  <c r="R78" i="4"/>
  <c r="S78" i="4" s="1"/>
  <c r="R79" i="4"/>
  <c r="R80" i="4"/>
  <c r="S80" i="4" s="1"/>
  <c r="R81" i="4"/>
  <c r="S81" i="4" s="1"/>
  <c r="R82" i="4"/>
  <c r="R83" i="4"/>
  <c r="R84" i="4"/>
  <c r="R85" i="4"/>
  <c r="R86" i="4"/>
  <c r="R87" i="4"/>
  <c r="S87" i="4" s="1"/>
  <c r="R88" i="4"/>
  <c r="S88" i="4" s="1"/>
  <c r="R89" i="4"/>
  <c r="S89" i="4" s="1"/>
  <c r="R90" i="4"/>
  <c r="S90" i="4" s="1"/>
  <c r="R91" i="4"/>
  <c r="R92" i="4"/>
  <c r="R93" i="4"/>
  <c r="S93" i="4" s="1"/>
  <c r="R94" i="4"/>
  <c r="S94" i="4" s="1"/>
  <c r="R95" i="4"/>
  <c r="S95" i="4" s="1"/>
  <c r="R96" i="4"/>
  <c r="S96" i="4" s="1"/>
  <c r="R97" i="4"/>
  <c r="S97" i="4" s="1"/>
  <c r="R98" i="4"/>
  <c r="S98" i="4" s="1"/>
  <c r="R99" i="4"/>
  <c r="R100" i="4"/>
  <c r="R101" i="4"/>
  <c r="R102" i="4"/>
  <c r="R103" i="4"/>
  <c r="S103" i="4" s="1"/>
  <c r="R104" i="4"/>
  <c r="R105" i="4"/>
  <c r="R106" i="4"/>
  <c r="S106" i="4" s="1"/>
  <c r="R107" i="4"/>
  <c r="R108" i="4"/>
  <c r="R109" i="4"/>
  <c r="S109" i="4" s="1"/>
  <c r="R110" i="4"/>
  <c r="S110" i="4" s="1"/>
  <c r="R111" i="4"/>
  <c r="S111" i="4" s="1"/>
  <c r="R112" i="4"/>
  <c r="S112" i="4" s="1"/>
  <c r="R113" i="4"/>
  <c r="S113" i="4" s="1"/>
  <c r="R114" i="4"/>
  <c r="S114" i="4" s="1"/>
  <c r="R115" i="4"/>
  <c r="R116" i="4"/>
  <c r="R117" i="4"/>
  <c r="S117" i="4" s="1"/>
  <c r="R2" i="4"/>
  <c r="S15" i="4"/>
  <c r="S34" i="4"/>
  <c r="S38" i="4"/>
  <c r="S53" i="4"/>
  <c r="S56" i="4"/>
  <c r="S82" i="4"/>
  <c r="S86" i="4"/>
  <c r="S101" i="4"/>
  <c r="S102" i="4"/>
  <c r="S104" i="4"/>
  <c r="S69" i="4"/>
  <c r="S70" i="4"/>
  <c r="S105" i="4"/>
  <c r="S10" i="4"/>
  <c r="S77" i="4"/>
  <c r="S79" i="4"/>
  <c r="S21" i="4"/>
  <c r="S46" i="4"/>
  <c r="S85" i="4"/>
  <c r="S2" i="4"/>
  <c r="S3" i="4"/>
  <c r="S4" i="4"/>
  <c r="S11" i="4"/>
  <c r="S12" i="4"/>
  <c r="S19" i="4"/>
  <c r="S20" i="4"/>
  <c r="S27" i="4"/>
  <c r="S28" i="4"/>
  <c r="S35" i="4"/>
  <c r="S36" i="4"/>
  <c r="S43" i="4"/>
  <c r="S44" i="4"/>
  <c r="S51" i="4"/>
  <c r="S52" i="4"/>
  <c r="S59" i="4"/>
  <c r="S60" i="4"/>
  <c r="S67" i="4"/>
  <c r="S68" i="4"/>
  <c r="S75" i="4"/>
  <c r="S76" i="4"/>
  <c r="S83" i="4"/>
  <c r="S84" i="4"/>
  <c r="S91" i="4"/>
  <c r="S92" i="4"/>
  <c r="S99" i="4"/>
  <c r="S100" i="4"/>
  <c r="S107" i="4"/>
  <c r="S108" i="4"/>
  <c r="S115" i="4"/>
  <c r="S116" i="4"/>
  <c r="O7" i="4"/>
  <c r="O8" i="4"/>
  <c r="O23" i="4"/>
  <c r="O24" i="4"/>
  <c r="O39" i="4"/>
  <c r="O40" i="4"/>
  <c r="O55" i="4"/>
  <c r="O56" i="4"/>
  <c r="O71" i="4"/>
  <c r="O72" i="4"/>
  <c r="O87" i="4"/>
  <c r="O88" i="4"/>
  <c r="O103" i="4"/>
  <c r="O104" i="4"/>
  <c r="O2" i="4"/>
  <c r="N3" i="4"/>
  <c r="O3" i="4" s="1"/>
  <c r="N4" i="4"/>
  <c r="O4" i="4" s="1"/>
  <c r="N5" i="4"/>
  <c r="O5" i="4" s="1"/>
  <c r="N6" i="4"/>
  <c r="O6" i="4" s="1"/>
  <c r="N7" i="4"/>
  <c r="N8" i="4"/>
  <c r="N9" i="4"/>
  <c r="O9" i="4" s="1"/>
  <c r="N10" i="4"/>
  <c r="O10" i="4" s="1"/>
  <c r="N11" i="4"/>
  <c r="O11" i="4" s="1"/>
  <c r="N12" i="4"/>
  <c r="O12" i="4" s="1"/>
  <c r="N13" i="4"/>
  <c r="O13" i="4" s="1"/>
  <c r="N14" i="4"/>
  <c r="O14" i="4" s="1"/>
  <c r="N15" i="4"/>
  <c r="O15" i="4" s="1"/>
  <c r="N16" i="4"/>
  <c r="O16" i="4" s="1"/>
  <c r="N17" i="4"/>
  <c r="O17" i="4" s="1"/>
  <c r="N18" i="4"/>
  <c r="O18" i="4" s="1"/>
  <c r="N19" i="4"/>
  <c r="O19" i="4" s="1"/>
  <c r="N20" i="4"/>
  <c r="O20" i="4" s="1"/>
  <c r="N21" i="4"/>
  <c r="O21" i="4" s="1"/>
  <c r="N22" i="4"/>
  <c r="O22" i="4" s="1"/>
  <c r="N23" i="4"/>
  <c r="N24" i="4"/>
  <c r="N25" i="4"/>
  <c r="O25" i="4" s="1"/>
  <c r="N26" i="4"/>
  <c r="O26" i="4" s="1"/>
  <c r="N27" i="4"/>
  <c r="O27" i="4" s="1"/>
  <c r="N28" i="4"/>
  <c r="O28" i="4" s="1"/>
  <c r="N29" i="4"/>
  <c r="O29" i="4" s="1"/>
  <c r="N30" i="4"/>
  <c r="O30" i="4" s="1"/>
  <c r="N31" i="4"/>
  <c r="O31" i="4" s="1"/>
  <c r="N32" i="4"/>
  <c r="O32" i="4" s="1"/>
  <c r="N33" i="4"/>
  <c r="O33" i="4" s="1"/>
  <c r="N34" i="4"/>
  <c r="O34" i="4" s="1"/>
  <c r="N35" i="4"/>
  <c r="O35" i="4" s="1"/>
  <c r="N36" i="4"/>
  <c r="O36" i="4" s="1"/>
  <c r="N37" i="4"/>
  <c r="O37" i="4" s="1"/>
  <c r="N38" i="4"/>
  <c r="O38" i="4" s="1"/>
  <c r="N39" i="4"/>
  <c r="N40" i="4"/>
  <c r="N41" i="4"/>
  <c r="O41" i="4" s="1"/>
  <c r="N42" i="4"/>
  <c r="O42" i="4" s="1"/>
  <c r="N43" i="4"/>
  <c r="O43" i="4" s="1"/>
  <c r="N44" i="4"/>
  <c r="O44" i="4" s="1"/>
  <c r="N45" i="4"/>
  <c r="O45" i="4" s="1"/>
  <c r="N46" i="4"/>
  <c r="O46" i="4" s="1"/>
  <c r="N47" i="4"/>
  <c r="O47" i="4" s="1"/>
  <c r="N48" i="4"/>
  <c r="O48" i="4" s="1"/>
  <c r="N49" i="4"/>
  <c r="O49" i="4" s="1"/>
  <c r="N50" i="4"/>
  <c r="O50" i="4" s="1"/>
  <c r="N51" i="4"/>
  <c r="O51" i="4" s="1"/>
  <c r="N52" i="4"/>
  <c r="O52" i="4" s="1"/>
  <c r="N53" i="4"/>
  <c r="O53" i="4" s="1"/>
  <c r="N54" i="4"/>
  <c r="O54" i="4" s="1"/>
  <c r="N55" i="4"/>
  <c r="N56" i="4"/>
  <c r="N57" i="4"/>
  <c r="O57" i="4" s="1"/>
  <c r="N58" i="4"/>
  <c r="O58" i="4" s="1"/>
  <c r="N59" i="4"/>
  <c r="O59" i="4" s="1"/>
  <c r="N60" i="4"/>
  <c r="O60" i="4" s="1"/>
  <c r="N61" i="4"/>
  <c r="O61" i="4" s="1"/>
  <c r="N62" i="4"/>
  <c r="O62" i="4" s="1"/>
  <c r="N63" i="4"/>
  <c r="O63" i="4" s="1"/>
  <c r="N64" i="4"/>
  <c r="O64" i="4" s="1"/>
  <c r="N65" i="4"/>
  <c r="O65" i="4" s="1"/>
  <c r="N66" i="4"/>
  <c r="O66" i="4" s="1"/>
  <c r="N67" i="4"/>
  <c r="O67" i="4" s="1"/>
  <c r="N68" i="4"/>
  <c r="O68" i="4" s="1"/>
  <c r="N69" i="4"/>
  <c r="O69" i="4" s="1"/>
  <c r="N70" i="4"/>
  <c r="O70" i="4" s="1"/>
  <c r="N71" i="4"/>
  <c r="N72" i="4"/>
  <c r="N73" i="4"/>
  <c r="O73" i="4" s="1"/>
  <c r="N74" i="4"/>
  <c r="O74" i="4" s="1"/>
  <c r="N75" i="4"/>
  <c r="O75" i="4" s="1"/>
  <c r="N76" i="4"/>
  <c r="O76" i="4" s="1"/>
  <c r="N77" i="4"/>
  <c r="O77" i="4" s="1"/>
  <c r="N78" i="4"/>
  <c r="O78" i="4" s="1"/>
  <c r="N79" i="4"/>
  <c r="O79" i="4" s="1"/>
  <c r="N80" i="4"/>
  <c r="O80" i="4" s="1"/>
  <c r="N81" i="4"/>
  <c r="O81" i="4" s="1"/>
  <c r="N82" i="4"/>
  <c r="O82" i="4" s="1"/>
  <c r="N83" i="4"/>
  <c r="O83" i="4" s="1"/>
  <c r="N84" i="4"/>
  <c r="O84" i="4" s="1"/>
  <c r="N85" i="4"/>
  <c r="O85" i="4" s="1"/>
  <c r="N86" i="4"/>
  <c r="O86" i="4" s="1"/>
  <c r="N87" i="4"/>
  <c r="N88" i="4"/>
  <c r="N89" i="4"/>
  <c r="O89" i="4" s="1"/>
  <c r="N90" i="4"/>
  <c r="O90" i="4" s="1"/>
  <c r="N91" i="4"/>
  <c r="O91" i="4" s="1"/>
  <c r="N92" i="4"/>
  <c r="O92" i="4" s="1"/>
  <c r="N93" i="4"/>
  <c r="O93" i="4" s="1"/>
  <c r="N94" i="4"/>
  <c r="O94" i="4" s="1"/>
  <c r="N95" i="4"/>
  <c r="O95" i="4" s="1"/>
  <c r="N96" i="4"/>
  <c r="O96" i="4" s="1"/>
  <c r="N97" i="4"/>
  <c r="O97" i="4" s="1"/>
  <c r="N98" i="4"/>
  <c r="O98" i="4" s="1"/>
  <c r="N99" i="4"/>
  <c r="O99" i="4" s="1"/>
  <c r="N100" i="4"/>
  <c r="O100" i="4" s="1"/>
  <c r="N101" i="4"/>
  <c r="O101" i="4" s="1"/>
  <c r="N102" i="4"/>
  <c r="O102" i="4" s="1"/>
  <c r="N103" i="4"/>
  <c r="N104" i="4"/>
  <c r="N105" i="4"/>
  <c r="O105" i="4" s="1"/>
  <c r="N106" i="4"/>
  <c r="O106" i="4" s="1"/>
  <c r="N107" i="4"/>
  <c r="O107" i="4" s="1"/>
  <c r="N108" i="4"/>
  <c r="O108" i="4" s="1"/>
  <c r="N109" i="4"/>
  <c r="O109" i="4" s="1"/>
  <c r="N110" i="4"/>
  <c r="O110" i="4" s="1"/>
  <c r="N111" i="4"/>
  <c r="O111" i="4" s="1"/>
  <c r="N112" i="4"/>
  <c r="O112" i="4" s="1"/>
  <c r="N113" i="4"/>
  <c r="O113" i="4" s="1"/>
  <c r="N114" i="4"/>
  <c r="O114" i="4" s="1"/>
  <c r="N115" i="4"/>
  <c r="O115" i="4" s="1"/>
  <c r="N116" i="4"/>
  <c r="O116" i="4" s="1"/>
  <c r="N117" i="4"/>
  <c r="O117" i="4" s="1"/>
  <c r="M2" i="1"/>
  <c r="M3" i="1"/>
  <c r="M4" i="1"/>
  <c r="M5" i="1"/>
  <c r="M6" i="1"/>
  <c r="M7" i="1"/>
  <c r="M8" i="1"/>
  <c r="M9" i="1"/>
  <c r="M10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8" i="1"/>
  <c r="M109" i="1"/>
  <c r="M110" i="1"/>
  <c r="M111" i="1"/>
  <c r="M112" i="1"/>
  <c r="M113" i="1"/>
  <c r="M114" i="1"/>
  <c r="M115" i="1"/>
  <c r="M116" i="1"/>
  <c r="M117" i="1"/>
  <c r="S120" i="5" l="1"/>
  <c r="N2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8" i="1"/>
  <c r="N109" i="1"/>
  <c r="N110" i="1"/>
  <c r="N111" i="1"/>
  <c r="N112" i="1"/>
  <c r="N113" i="1"/>
  <c r="N114" i="1"/>
  <c r="N115" i="1"/>
  <c r="N116" i="1"/>
  <c r="N117" i="1"/>
  <c r="I2" i="1" l="1"/>
  <c r="L2" i="1" s="1"/>
  <c r="I58" i="1"/>
  <c r="L58" i="1" s="1"/>
  <c r="I59" i="1"/>
  <c r="L59" i="1" s="1"/>
  <c r="I60" i="1"/>
  <c r="L60" i="1" s="1"/>
  <c r="I61" i="1"/>
  <c r="L61" i="1" s="1"/>
  <c r="I62" i="1"/>
  <c r="L62" i="1" s="1"/>
  <c r="I63" i="1"/>
  <c r="L63" i="1" s="1"/>
  <c r="I64" i="1"/>
  <c r="L64" i="1" s="1"/>
  <c r="I65" i="1"/>
  <c r="L65" i="1" s="1"/>
  <c r="I66" i="1"/>
  <c r="L66" i="1" s="1"/>
  <c r="I67" i="1"/>
  <c r="L67" i="1" s="1"/>
  <c r="I68" i="1"/>
  <c r="L68" i="1" s="1"/>
  <c r="I69" i="1"/>
  <c r="L69" i="1" s="1"/>
  <c r="I70" i="1"/>
  <c r="L70" i="1" s="1"/>
  <c r="I71" i="1"/>
  <c r="L71" i="1" s="1"/>
  <c r="I72" i="1"/>
  <c r="L72" i="1" s="1"/>
  <c r="I73" i="1"/>
  <c r="L73" i="1" s="1"/>
  <c r="I74" i="1"/>
  <c r="L74" i="1" s="1"/>
  <c r="I75" i="1"/>
  <c r="L75" i="1" s="1"/>
  <c r="I76" i="1"/>
  <c r="L76" i="1" s="1"/>
  <c r="I77" i="1"/>
  <c r="L77" i="1" s="1"/>
  <c r="I78" i="1"/>
  <c r="L78" i="1" s="1"/>
  <c r="I79" i="1"/>
  <c r="L79" i="1" s="1"/>
  <c r="I80" i="1"/>
  <c r="L80" i="1" s="1"/>
  <c r="I81" i="1"/>
  <c r="L81" i="1" s="1"/>
  <c r="I82" i="1"/>
  <c r="L82" i="1" s="1"/>
  <c r="I83" i="1"/>
  <c r="L83" i="1" s="1"/>
  <c r="I84" i="1"/>
  <c r="L84" i="1" s="1"/>
  <c r="I85" i="1"/>
  <c r="L85" i="1" s="1"/>
  <c r="I86" i="1"/>
  <c r="L86" i="1" s="1"/>
  <c r="I87" i="1"/>
  <c r="L87" i="1" s="1"/>
  <c r="I88" i="1"/>
  <c r="L88" i="1" s="1"/>
  <c r="I89" i="1"/>
  <c r="L89" i="1" s="1"/>
  <c r="I90" i="1"/>
  <c r="L90" i="1" s="1"/>
  <c r="I91" i="1"/>
  <c r="L91" i="1" s="1"/>
  <c r="I92" i="1"/>
  <c r="L92" i="1" s="1"/>
  <c r="I93" i="1"/>
  <c r="L93" i="1" s="1"/>
  <c r="I94" i="1"/>
  <c r="L94" i="1" s="1"/>
  <c r="I95" i="1"/>
  <c r="L95" i="1" s="1"/>
  <c r="I96" i="1"/>
  <c r="L96" i="1" s="1"/>
  <c r="I97" i="1"/>
  <c r="L97" i="1" s="1"/>
  <c r="I98" i="1"/>
  <c r="L98" i="1" s="1"/>
  <c r="I99" i="1"/>
  <c r="L99" i="1" s="1"/>
  <c r="I100" i="1"/>
  <c r="L100" i="1" s="1"/>
  <c r="I101" i="1"/>
  <c r="L101" i="1" s="1"/>
  <c r="I102" i="1"/>
  <c r="L102" i="1" s="1"/>
  <c r="I103" i="1"/>
  <c r="L103" i="1" s="1"/>
  <c r="I104" i="1"/>
  <c r="L104" i="1" s="1"/>
  <c r="I105" i="1"/>
  <c r="L105" i="1" s="1"/>
  <c r="I106" i="1"/>
  <c r="L106" i="1" s="1"/>
  <c r="I108" i="1"/>
  <c r="L108" i="1" s="1"/>
  <c r="I109" i="1"/>
  <c r="L109" i="1" s="1"/>
  <c r="I110" i="1"/>
  <c r="L110" i="1" s="1"/>
  <c r="I111" i="1"/>
  <c r="L111" i="1" s="1"/>
  <c r="I112" i="1"/>
  <c r="L112" i="1" s="1"/>
  <c r="I113" i="1"/>
  <c r="L113" i="1" s="1"/>
  <c r="I114" i="1"/>
  <c r="L114" i="1" s="1"/>
  <c r="I115" i="1"/>
  <c r="L115" i="1" s="1"/>
  <c r="I116" i="1"/>
  <c r="L116" i="1" s="1"/>
  <c r="I117" i="1"/>
  <c r="L117" i="1" s="1"/>
  <c r="P107" i="3" l="1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8" i="3"/>
  <c r="P109" i="3"/>
  <c r="P110" i="3"/>
  <c r="P111" i="3"/>
  <c r="P112" i="3"/>
  <c r="P113" i="3"/>
  <c r="P114" i="3"/>
  <c r="P115" i="3"/>
  <c r="P116" i="3"/>
  <c r="P117" i="3"/>
  <c r="P2" i="3"/>
  <c r="I25" i="1" l="1"/>
  <c r="L25" i="1" s="1"/>
  <c r="I30" i="1"/>
  <c r="L30" i="1" s="1"/>
  <c r="J19" i="2"/>
  <c r="J18" i="2"/>
  <c r="J55" i="2"/>
  <c r="J43" i="2"/>
  <c r="J33" i="2"/>
  <c r="J14" i="2"/>
  <c r="P12" i="2" l="1"/>
  <c r="P16" i="2"/>
  <c r="P17" i="2"/>
  <c r="P21" i="2"/>
  <c r="P28" i="2"/>
  <c r="P32" i="2"/>
  <c r="P33" i="2"/>
  <c r="P37" i="2"/>
  <c r="P44" i="2"/>
  <c r="P48" i="2"/>
  <c r="P49" i="2"/>
  <c r="P53" i="2"/>
  <c r="P60" i="2"/>
  <c r="P64" i="2"/>
  <c r="P65" i="2"/>
  <c r="P69" i="2"/>
  <c r="P76" i="2"/>
  <c r="P80" i="2"/>
  <c r="P81" i="2"/>
  <c r="P85" i="2"/>
  <c r="P92" i="2"/>
  <c r="P96" i="2"/>
  <c r="P97" i="2"/>
  <c r="P101" i="2"/>
  <c r="P108" i="2"/>
  <c r="P112" i="2"/>
  <c r="P113" i="2"/>
  <c r="P117" i="2"/>
  <c r="O3" i="2"/>
  <c r="P3" i="2" s="1"/>
  <c r="O4" i="2"/>
  <c r="P4" i="2" s="1"/>
  <c r="O5" i="2"/>
  <c r="P5" i="2" s="1"/>
  <c r="O6" i="2"/>
  <c r="P6" i="2" s="1"/>
  <c r="O7" i="2"/>
  <c r="P7" i="2" s="1"/>
  <c r="O8" i="2"/>
  <c r="P8" i="2" s="1"/>
  <c r="O9" i="2"/>
  <c r="P9" i="2" s="1"/>
  <c r="O10" i="2"/>
  <c r="P10" i="2" s="1"/>
  <c r="O11" i="2"/>
  <c r="P11" i="2" s="1"/>
  <c r="O12" i="2"/>
  <c r="O13" i="2"/>
  <c r="P13" i="2" s="1"/>
  <c r="O14" i="2"/>
  <c r="P14" i="2" s="1"/>
  <c r="O15" i="2"/>
  <c r="P15" i="2" s="1"/>
  <c r="O16" i="2"/>
  <c r="O17" i="2"/>
  <c r="O18" i="2"/>
  <c r="P18" i="2" s="1"/>
  <c r="O19" i="2"/>
  <c r="P19" i="2" s="1"/>
  <c r="O20" i="2"/>
  <c r="P20" i="2" s="1"/>
  <c r="O21" i="2"/>
  <c r="O22" i="2"/>
  <c r="P22" i="2" s="1"/>
  <c r="O23" i="2"/>
  <c r="P23" i="2" s="1"/>
  <c r="O24" i="2"/>
  <c r="P24" i="2" s="1"/>
  <c r="O25" i="2"/>
  <c r="P25" i="2" s="1"/>
  <c r="O26" i="2"/>
  <c r="P26" i="2" s="1"/>
  <c r="O27" i="2"/>
  <c r="P27" i="2" s="1"/>
  <c r="O28" i="2"/>
  <c r="O29" i="2"/>
  <c r="P29" i="2" s="1"/>
  <c r="O30" i="2"/>
  <c r="P30" i="2" s="1"/>
  <c r="O31" i="2"/>
  <c r="P31" i="2" s="1"/>
  <c r="O32" i="2"/>
  <c r="O33" i="2"/>
  <c r="O34" i="2"/>
  <c r="P34" i="2" s="1"/>
  <c r="O35" i="2"/>
  <c r="P35" i="2" s="1"/>
  <c r="O36" i="2"/>
  <c r="P36" i="2" s="1"/>
  <c r="O37" i="2"/>
  <c r="O38" i="2"/>
  <c r="P38" i="2" s="1"/>
  <c r="O39" i="2"/>
  <c r="P39" i="2" s="1"/>
  <c r="O40" i="2"/>
  <c r="P40" i="2" s="1"/>
  <c r="O41" i="2"/>
  <c r="P41" i="2" s="1"/>
  <c r="O42" i="2"/>
  <c r="P42" i="2" s="1"/>
  <c r="O43" i="2"/>
  <c r="P43" i="2" s="1"/>
  <c r="O44" i="2"/>
  <c r="O45" i="2"/>
  <c r="P45" i="2" s="1"/>
  <c r="O46" i="2"/>
  <c r="P46" i="2" s="1"/>
  <c r="O47" i="2"/>
  <c r="P47" i="2" s="1"/>
  <c r="O48" i="2"/>
  <c r="O49" i="2"/>
  <c r="O50" i="2"/>
  <c r="P50" i="2" s="1"/>
  <c r="O51" i="2"/>
  <c r="P51" i="2" s="1"/>
  <c r="O52" i="2"/>
  <c r="P52" i="2" s="1"/>
  <c r="O53" i="2"/>
  <c r="O54" i="2"/>
  <c r="P54" i="2" s="1"/>
  <c r="O55" i="2"/>
  <c r="P55" i="2" s="1"/>
  <c r="O56" i="2"/>
  <c r="P56" i="2" s="1"/>
  <c r="O57" i="2"/>
  <c r="P57" i="2" s="1"/>
  <c r="O58" i="2"/>
  <c r="P58" i="2" s="1"/>
  <c r="O59" i="2"/>
  <c r="P59" i="2" s="1"/>
  <c r="O60" i="2"/>
  <c r="O61" i="2"/>
  <c r="P61" i="2" s="1"/>
  <c r="O62" i="2"/>
  <c r="P62" i="2" s="1"/>
  <c r="O63" i="2"/>
  <c r="P63" i="2" s="1"/>
  <c r="O64" i="2"/>
  <c r="O65" i="2"/>
  <c r="O66" i="2"/>
  <c r="P66" i="2" s="1"/>
  <c r="O67" i="2"/>
  <c r="P67" i="2" s="1"/>
  <c r="O68" i="2"/>
  <c r="P68" i="2" s="1"/>
  <c r="O69" i="2"/>
  <c r="O70" i="2"/>
  <c r="P70" i="2" s="1"/>
  <c r="O71" i="2"/>
  <c r="P71" i="2" s="1"/>
  <c r="O72" i="2"/>
  <c r="P72" i="2" s="1"/>
  <c r="O73" i="2"/>
  <c r="P73" i="2" s="1"/>
  <c r="O74" i="2"/>
  <c r="P74" i="2" s="1"/>
  <c r="O75" i="2"/>
  <c r="P75" i="2" s="1"/>
  <c r="O76" i="2"/>
  <c r="O77" i="2"/>
  <c r="P77" i="2" s="1"/>
  <c r="O78" i="2"/>
  <c r="P78" i="2" s="1"/>
  <c r="O79" i="2"/>
  <c r="P79" i="2" s="1"/>
  <c r="O80" i="2"/>
  <c r="O81" i="2"/>
  <c r="O82" i="2"/>
  <c r="P82" i="2" s="1"/>
  <c r="O83" i="2"/>
  <c r="P83" i="2" s="1"/>
  <c r="O84" i="2"/>
  <c r="P84" i="2" s="1"/>
  <c r="O85" i="2"/>
  <c r="O86" i="2"/>
  <c r="P86" i="2" s="1"/>
  <c r="O87" i="2"/>
  <c r="P87" i="2" s="1"/>
  <c r="O88" i="2"/>
  <c r="P88" i="2" s="1"/>
  <c r="O89" i="2"/>
  <c r="P89" i="2" s="1"/>
  <c r="O90" i="2"/>
  <c r="P90" i="2" s="1"/>
  <c r="O91" i="2"/>
  <c r="P91" i="2" s="1"/>
  <c r="O92" i="2"/>
  <c r="O93" i="2"/>
  <c r="P93" i="2" s="1"/>
  <c r="O94" i="2"/>
  <c r="P94" i="2" s="1"/>
  <c r="O95" i="2"/>
  <c r="P95" i="2" s="1"/>
  <c r="O96" i="2"/>
  <c r="O97" i="2"/>
  <c r="O98" i="2"/>
  <c r="P98" i="2" s="1"/>
  <c r="O99" i="2"/>
  <c r="P99" i="2" s="1"/>
  <c r="O100" i="2"/>
  <c r="P100" i="2" s="1"/>
  <c r="O101" i="2"/>
  <c r="O102" i="2"/>
  <c r="P102" i="2" s="1"/>
  <c r="O103" i="2"/>
  <c r="P103" i="2" s="1"/>
  <c r="O104" i="2"/>
  <c r="P104" i="2" s="1"/>
  <c r="O105" i="2"/>
  <c r="P105" i="2" s="1"/>
  <c r="O106" i="2"/>
  <c r="P106" i="2" s="1"/>
  <c r="O107" i="2"/>
  <c r="P107" i="2" s="1"/>
  <c r="O108" i="2"/>
  <c r="O109" i="2"/>
  <c r="P109" i="2" s="1"/>
  <c r="O110" i="2"/>
  <c r="P110" i="2" s="1"/>
  <c r="O111" i="2"/>
  <c r="P111" i="2" s="1"/>
  <c r="O112" i="2"/>
  <c r="O113" i="2"/>
  <c r="O114" i="2"/>
  <c r="P114" i="2" s="1"/>
  <c r="O115" i="2"/>
  <c r="P115" i="2" s="1"/>
  <c r="O116" i="2"/>
  <c r="P116" i="2" s="1"/>
  <c r="O117" i="2"/>
  <c r="O2" i="2"/>
  <c r="P2" i="2" s="1"/>
  <c r="P119" i="2" l="1"/>
  <c r="P120" i="2"/>
  <c r="E117" i="1"/>
  <c r="E116" i="1"/>
  <c r="E115" i="1"/>
  <c r="E114" i="1"/>
  <c r="E113" i="1"/>
  <c r="E112" i="1"/>
  <c r="E111" i="1"/>
  <c r="E110" i="1"/>
  <c r="E109" i="1"/>
  <c r="E108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I3" i="1" l="1"/>
  <c r="L3" i="1" s="1"/>
  <c r="I4" i="1"/>
  <c r="L4" i="1" s="1"/>
  <c r="I5" i="1"/>
  <c r="L5" i="1" s="1"/>
  <c r="I6" i="1"/>
  <c r="L6" i="1" s="1"/>
  <c r="I7" i="1"/>
  <c r="L7" i="1" s="1"/>
  <c r="I8" i="1"/>
  <c r="L8" i="1" s="1"/>
  <c r="I9" i="1"/>
  <c r="L9" i="1" s="1"/>
  <c r="I10" i="1"/>
  <c r="L10" i="1" s="1"/>
  <c r="I12" i="1"/>
  <c r="L12" i="1" s="1"/>
  <c r="I13" i="1"/>
  <c r="L13" i="1" s="1"/>
  <c r="I14" i="1"/>
  <c r="L14" i="1" s="1"/>
  <c r="I15" i="1"/>
  <c r="L15" i="1" s="1"/>
  <c r="I16" i="1"/>
  <c r="L16" i="1" s="1"/>
  <c r="I17" i="1"/>
  <c r="L17" i="1" s="1"/>
  <c r="I18" i="1"/>
  <c r="L18" i="1" s="1"/>
  <c r="I19" i="1"/>
  <c r="L19" i="1" s="1"/>
  <c r="I20" i="1"/>
  <c r="L20" i="1" s="1"/>
  <c r="I21" i="1"/>
  <c r="L21" i="1" s="1"/>
  <c r="I22" i="1"/>
  <c r="L22" i="1" s="1"/>
  <c r="I23" i="1"/>
  <c r="L23" i="1" s="1"/>
  <c r="I24" i="1"/>
  <c r="L24" i="1" s="1"/>
  <c r="I26" i="1"/>
  <c r="L26" i="1" s="1"/>
  <c r="I27" i="1"/>
  <c r="L27" i="1" s="1"/>
  <c r="I28" i="1"/>
  <c r="L28" i="1" s="1"/>
  <c r="I29" i="1"/>
  <c r="L29" i="1" s="1"/>
  <c r="I31" i="1"/>
  <c r="L31" i="1" s="1"/>
  <c r="I32" i="1"/>
  <c r="L32" i="1" s="1"/>
  <c r="I33" i="1"/>
  <c r="L33" i="1" s="1"/>
  <c r="I34" i="1"/>
  <c r="L34" i="1" s="1"/>
  <c r="I35" i="1"/>
  <c r="L35" i="1" s="1"/>
  <c r="I36" i="1"/>
  <c r="L36" i="1" s="1"/>
  <c r="I37" i="1"/>
  <c r="L37" i="1" s="1"/>
  <c r="I38" i="1"/>
  <c r="L38" i="1" s="1"/>
  <c r="I39" i="1"/>
  <c r="L39" i="1" s="1"/>
  <c r="I40" i="1"/>
  <c r="L40" i="1" s="1"/>
  <c r="I41" i="1"/>
  <c r="L41" i="1" s="1"/>
  <c r="I42" i="1"/>
  <c r="L42" i="1" s="1"/>
  <c r="I43" i="1"/>
  <c r="L43" i="1" s="1"/>
  <c r="I44" i="1"/>
  <c r="L44" i="1" s="1"/>
  <c r="I46" i="1"/>
  <c r="L46" i="1" s="1"/>
  <c r="I47" i="1"/>
  <c r="L47" i="1" s="1"/>
  <c r="I48" i="1"/>
  <c r="L48" i="1" s="1"/>
  <c r="I49" i="1"/>
  <c r="L49" i="1" s="1"/>
  <c r="I50" i="1"/>
  <c r="L50" i="1" s="1"/>
  <c r="I51" i="1"/>
  <c r="L51" i="1" s="1"/>
  <c r="I52" i="1"/>
  <c r="L52" i="1" s="1"/>
  <c r="I53" i="1"/>
  <c r="L53" i="1" s="1"/>
  <c r="I54" i="1"/>
  <c r="L54" i="1" s="1"/>
  <c r="I55" i="1"/>
  <c r="L55" i="1" s="1"/>
  <c r="I56" i="1"/>
  <c r="L56" i="1" s="1"/>
  <c r="I57" i="1"/>
  <c r="L57" i="1" s="1"/>
  <c r="E57" i="1"/>
  <c r="E56" i="1"/>
  <c r="E55" i="1"/>
  <c r="E54" i="1"/>
  <c r="E53" i="1"/>
  <c r="E52" i="1"/>
  <c r="E50" i="1"/>
  <c r="E49" i="1"/>
  <c r="E48" i="1"/>
  <c r="E47" i="1"/>
  <c r="E46" i="1"/>
  <c r="F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F11" i="1"/>
  <c r="E10" i="1"/>
  <c r="E9" i="1"/>
  <c r="Q45" i="1" l="1"/>
  <c r="R45" i="1" s="1"/>
  <c r="U45" i="1"/>
  <c r="V45" i="1" s="1"/>
  <c r="S45" i="1"/>
  <c r="T45" i="1" s="1"/>
  <c r="Q11" i="1"/>
  <c r="R11" i="1" s="1"/>
  <c r="U11" i="1"/>
  <c r="V11" i="1" s="1"/>
  <c r="S11" i="1"/>
  <c r="T11" i="1" s="1"/>
  <c r="M45" i="1"/>
  <c r="N45" i="1" s="1"/>
  <c r="O45" i="1"/>
  <c r="P45" i="1" s="1"/>
  <c r="O11" i="1"/>
  <c r="P11" i="1" s="1"/>
  <c r="M11" i="1"/>
  <c r="N11" i="1" s="1"/>
  <c r="I45" i="1"/>
  <c r="L45" i="1" s="1"/>
  <c r="I11" i="1"/>
  <c r="L11" i="1" s="1"/>
</calcChain>
</file>

<file path=xl/sharedStrings.xml><?xml version="1.0" encoding="utf-8"?>
<sst xmlns="http://schemas.openxmlformats.org/spreadsheetml/2006/main" count="224" uniqueCount="78">
  <si>
    <t>Target_T_C</t>
  </si>
  <si>
    <t>Target_Sal</t>
  </si>
  <si>
    <t>Temp_C</t>
  </si>
  <si>
    <t>Temp_K</t>
  </si>
  <si>
    <t>Sal</t>
  </si>
  <si>
    <t>pKB_elect_MR18</t>
  </si>
  <si>
    <t>pKB_Dickson90b_eq23</t>
  </si>
  <si>
    <t>pKB_table3_23</t>
  </si>
  <si>
    <t>pKB_combined</t>
  </si>
  <si>
    <t xml:space="preserve">lm(formula = pKB_combined ~ 1 + I(Sal^0.5) + I(1/Temp_K) + I(Sal^(0.5)/Temp_K) + </t>
  </si>
  <si>
    <t xml:space="preserve">    I(Sal^0.5/(1 + (Sal^0.5))) + I(ln(Temp_K)) + I(Sal^(0.5) * </t>
  </si>
  <si>
    <t xml:space="preserve">    ln(Temp_K)) + I(Sal^(1/2) * Temp_K) + I(Sal^(3/2) * Temp_K), </t>
  </si>
  <si>
    <t xml:space="preserve">    data = combined_data)</t>
  </si>
  <si>
    <t>Residuals:</t>
  </si>
  <si>
    <t>Coefficients:</t>
  </si>
  <si>
    <t>Estimate</t>
  </si>
  <si>
    <t>Std. Error</t>
  </si>
  <si>
    <t>t value</t>
  </si>
  <si>
    <t>Pr(&gt;|t|)</t>
  </si>
  <si>
    <t>(Intercept)</t>
  </si>
  <si>
    <t>&lt;</t>
  </si>
  <si>
    <t>***</t>
  </si>
  <si>
    <t>I(Sal^0.5)</t>
  </si>
  <si>
    <t>**</t>
  </si>
  <si>
    <t>I(1/Temp_K)</t>
  </si>
  <si>
    <t>I(Sal^(0.5)/Temp_K)</t>
  </si>
  <si>
    <t>*</t>
  </si>
  <si>
    <t>I(Sal^0.5/(1 + (Sal^0.5)))</t>
  </si>
  <si>
    <t>I(ln(Temp_K))</t>
  </si>
  <si>
    <t>I(Sal^(0.5) * ln(Temp_K))</t>
  </si>
  <si>
    <t>I(Sal^(1/2) * Temp_K)</t>
  </si>
  <si>
    <t>I(Sal^(3/2) * Temp_K)</t>
  </si>
  <si>
    <t>Min</t>
  </si>
  <si>
    <t>1Q</t>
  </si>
  <si>
    <t>Median</t>
  </si>
  <si>
    <t>3Q</t>
  </si>
  <si>
    <t>Max</t>
  </si>
  <si>
    <t>model_1</t>
  </si>
  <si>
    <t>resid_using_eq1Coef</t>
  </si>
  <si>
    <t xml:space="preserve">       Min         1Q     Median         3Q        Max </t>
  </si>
  <si>
    <t>---</t>
  </si>
  <si>
    <t>I(Sal^(1/2)/Temp_K)</t>
  </si>
  <si>
    <t>I(Sal^(1/2)/(1 + (Sal^0.5)))</t>
  </si>
  <si>
    <t>I(Sal * Temp_K)</t>
  </si>
  <si>
    <t>Signif. codes:  0 ‘***’ 0.00</t>
  </si>
  <si>
    <t>1 ‘**’ 0.01 ‘*’</t>
  </si>
  <si>
    <t>0.05 ‘.’ 0.1 ‘ ’</t>
  </si>
  <si>
    <t>data_point_n</t>
  </si>
  <si>
    <t>model_2_comb</t>
  </si>
  <si>
    <t>resid_model_2_comb</t>
  </si>
  <si>
    <t xml:space="preserve">    I(Sal^(1/2)/(1 + (Sal^0.5))) + I(ln(Temp_K)) + I(Sal^(0.5) * </t>
  </si>
  <si>
    <t xml:space="preserve">lm(formula = pKB_combined ~ 1 + I(1/Temp_K) + I(Sal^(1/2)/Temp_K) + </t>
  </si>
  <si>
    <t xml:space="preserve">    ln(Temp_K)) + I(Sal^(1/2) * Temp_K) + I(Sal * Temp_K), data = combined_data)</t>
  </si>
  <si>
    <t xml:space="preserve">-0.0044111 -0.0010562  0.0000428  0.0015815  0.0046273 </t>
  </si>
  <si>
    <t>&lt;0.0000000000000002</t>
  </si>
  <si>
    <t>Dicksoneq_resid</t>
  </si>
  <si>
    <t>model_2_MMM</t>
  </si>
  <si>
    <t>resid_model_2_MMM</t>
  </si>
  <si>
    <t>model 2_comb</t>
  </si>
  <si>
    <t>resid_model2_comb</t>
  </si>
  <si>
    <t xml:space="preserve">-0.0044148 -0.0011058  0.0000404  0.0015405  0.0043718 </t>
  </si>
  <si>
    <t>model_2.1_comb</t>
  </si>
  <si>
    <t>model_2mac_comb</t>
  </si>
  <si>
    <t>resid_model_2mac_comb</t>
  </si>
  <si>
    <t xml:space="preserve">lm(formula = pKB_combined ~ 1 + I(Sal^(1/2)) + I(1/Temp_K) + </t>
  </si>
  <si>
    <t xml:space="preserve">    I(Sal^(1/2)/Temp_K) + I(Sal^(1/2)/(1 + (Sal^0.5))) + I(ln(Temp_K)) + </t>
  </si>
  <si>
    <t xml:space="preserve">    I(Sal^0.5/ln(Temp_K)) + I(Sal^(1/2) * Temp_K) + I(Sal * Temp_K), </t>
  </si>
  <si>
    <t xml:space="preserve">-0.0039149 -0.0011749  0.0001205  0.0013283  0.0036415 </t>
  </si>
  <si>
    <t>Signif. codes:  0 ‘***’ 0.001 ‘**’ 0.01 ‘*’ 0.05 ‘.’ 0.1 ‘ ’ 1</t>
  </si>
  <si>
    <t>I(Sal^(1/2))</t>
  </si>
  <si>
    <t>I(Sal^0.5/ln(Temp_K))</t>
  </si>
  <si>
    <t>model 3_comb</t>
  </si>
  <si>
    <t>resid_model3_comb</t>
  </si>
  <si>
    <t>resid_model_3_comb</t>
  </si>
  <si>
    <t>model_3_comb</t>
  </si>
  <si>
    <t>model_3_MMM</t>
  </si>
  <si>
    <t>resid_model_3_MMM</t>
  </si>
  <si>
    <t>Target_T_K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</si>
</sst>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000"/>
    <numFmt numFmtId="166" formatCode="0.000E+00"/>
    <numFmt numFmtId="167" formatCode="0.000000"/>
    <numFmt numFmtId="169" formatCode="0.0000000"/>
    <numFmt numFmtId="170" formatCode="0.00000E+00"/>
  </numFmts>
  <fonts count="7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rgb="FF000000"/>
      <name val="Lucida Console"/>
      <family val="3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25">
    <xf numFmtId="0" fontId="0" fillId="0" borderId="0" xfId="0"/>
    <xf numFmtId="164" fontId="0" fillId="0" borderId="0" xfId="1" applyNumberFormat="1" applyFont="1"/>
    <xf numFmtId="165" fontId="0" fillId="0" borderId="0" xfId="0" applyNumberFormat="1"/>
    <xf numFmtId="2" fontId="0" fillId="0" borderId="0" xfId="0" applyNumberFormat="1"/>
    <xf numFmtId="164" fontId="0" fillId="0" borderId="0" xfId="0" applyNumberFormat="1"/>
    <xf numFmtId="0" fontId="1" fillId="2" borderId="0" xfId="0" applyFont="1" applyFill="1"/>
    <xf numFmtId="165" fontId="0" fillId="0" borderId="0" xfId="1" applyNumberFormat="1" applyFont="1"/>
    <xf numFmtId="0" fontId="1" fillId="0" borderId="0" xfId="0" applyFont="1"/>
    <xf numFmtId="1" fontId="0" fillId="0" borderId="0" xfId="0" applyNumberFormat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6" fillId="0" borderId="0" xfId="2" applyFont="1"/>
    <xf numFmtId="165" fontId="3" fillId="0" borderId="0" xfId="2" applyNumberFormat="1" applyFont="1"/>
    <xf numFmtId="166" fontId="0" fillId="0" borderId="0" xfId="0" applyNumberFormat="1"/>
    <xf numFmtId="11" fontId="0" fillId="0" borderId="0" xfId="0" applyNumberFormat="1"/>
    <xf numFmtId="167" fontId="0" fillId="0" borderId="0" xfId="0" applyNumberFormat="1"/>
    <xf numFmtId="1" fontId="0" fillId="4" borderId="0" xfId="0" applyNumberFormat="1" applyFill="1"/>
    <xf numFmtId="0" fontId="6" fillId="0" borderId="0" xfId="0" applyFont="1"/>
    <xf numFmtId="0" fontId="1" fillId="5" borderId="0" xfId="0" applyFont="1" applyFill="1"/>
    <xf numFmtId="0" fontId="1" fillId="6" borderId="0" xfId="0" applyFont="1" applyFill="1"/>
    <xf numFmtId="165" fontId="3" fillId="0" borderId="0" xfId="0" applyNumberFormat="1" applyFont="1"/>
    <xf numFmtId="169" fontId="0" fillId="0" borderId="0" xfId="0" applyNumberFormat="1"/>
    <xf numFmtId="170" fontId="0" fillId="0" borderId="0" xfId="0" applyNumberFormat="1"/>
    <xf numFmtId="0" fontId="1" fillId="7" borderId="0" xfId="0" applyFont="1" applyFill="1"/>
  </cellXfs>
  <cellStyles count="3">
    <cellStyle name="Normal" xfId="0" builtinId="0"/>
    <cellStyle name="Normal 3" xfId="2" xr:uid="{4E6755E2-176A-4B43-A8CF-76FC3E6E9A5D}"/>
    <cellStyle name="Normal 4" xfId="1" xr:uid="{C7EBA2F2-42FF-4EC3-ABB8-45C310E8744E}"/>
  </cellStyles>
  <dxfs count="4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D4AA3-F116-4275-A25C-588C90774CCB}">
  <dimension ref="A1:V117"/>
  <sheetViews>
    <sheetView tabSelected="1" topLeftCell="A101" zoomScale="120" zoomScaleNormal="120" workbookViewId="0">
      <selection activeCell="D124" sqref="D124"/>
    </sheetView>
  </sheetViews>
  <sheetFormatPr baseColWidth="10" defaultColWidth="8.83203125" defaultRowHeight="15" x14ac:dyDescent="0.2"/>
  <cols>
    <col min="2" max="3" width="13.5" customWidth="1"/>
    <col min="4" max="4" width="13.33203125" customWidth="1"/>
    <col min="8" max="8" width="16" bestFit="1" customWidth="1"/>
    <col min="9" max="9" width="20.6640625" customWidth="1"/>
    <col min="10" max="10" width="14.1640625" bestFit="1" customWidth="1"/>
    <col min="11" max="11" width="14" customWidth="1"/>
    <col min="12" max="12" width="12.5" customWidth="1"/>
    <col min="13" max="13" width="15.83203125" hidden="1" customWidth="1"/>
    <col min="14" max="14" width="12.5" hidden="1" customWidth="1"/>
    <col min="15" max="16" width="15.83203125" hidden="1" customWidth="1"/>
    <col min="17" max="17" width="0" hidden="1" customWidth="1"/>
    <col min="18" max="18" width="15.83203125" hidden="1" customWidth="1"/>
    <col min="19" max="19" width="12.33203125" customWidth="1"/>
    <col min="20" max="20" width="15.83203125" customWidth="1"/>
  </cols>
  <sheetData>
    <row r="1" spans="1:22" x14ac:dyDescent="0.2">
      <c r="A1" s="7" t="s">
        <v>47</v>
      </c>
      <c r="B1" s="7" t="s">
        <v>0</v>
      </c>
      <c r="C1" s="7" t="s">
        <v>77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9" t="s">
        <v>55</v>
      </c>
      <c r="M1" s="7" t="s">
        <v>56</v>
      </c>
      <c r="N1" s="20" t="s">
        <v>57</v>
      </c>
      <c r="O1" s="7" t="s">
        <v>48</v>
      </c>
      <c r="P1" s="5" t="s">
        <v>49</v>
      </c>
      <c r="Q1" s="7" t="s">
        <v>62</v>
      </c>
      <c r="R1" s="7" t="s">
        <v>63</v>
      </c>
      <c r="S1" s="7" t="s">
        <v>74</v>
      </c>
      <c r="T1" s="5" t="s">
        <v>73</v>
      </c>
      <c r="U1" s="7" t="s">
        <v>75</v>
      </c>
      <c r="V1" s="24" t="s">
        <v>76</v>
      </c>
    </row>
    <row r="2" spans="1:22" x14ac:dyDescent="0.2">
      <c r="A2" s="8">
        <v>1</v>
      </c>
      <c r="B2">
        <v>2</v>
      </c>
      <c r="C2">
        <f>B2+273.15</f>
        <v>275.14999999999998</v>
      </c>
      <c r="D2">
        <v>0</v>
      </c>
      <c r="E2" s="4">
        <v>2</v>
      </c>
      <c r="F2">
        <v>275.14999999999998</v>
      </c>
      <c r="G2">
        <v>0</v>
      </c>
      <c r="H2" s="2">
        <v>9.4763443037501052</v>
      </c>
      <c r="I2" s="2">
        <f>-LOG(EXP((-8966.9-2890.53*G2^(0.5)-77.942*G2+1.728*(G2)^1.5-0.0996*G2^2)/F2+(148.0248+137.1942*G2^(0.5)+1.62142*G2)+(-24.4344-25.085*G2^(0.5)-0.2474*G2)*LN(F2)+(0.053105*G2^0.5)*F2))</f>
        <v>9.4763443037501052</v>
      </c>
      <c r="K2" s="2">
        <v>9.4763443037501052</v>
      </c>
      <c r="L2" s="2">
        <f>K2-I2</f>
        <v>0</v>
      </c>
      <c r="M2" s="21">
        <f t="shared" ref="M2:M66" si="0">-54.281+(3458.924/F2)+(-170.4282*G2^(1/2)/F2)+(-0.076232*G2^(1/2)/(1+G2^(1/2)))+(9.112029*LN(F2))+(0.25741444*G2^(1/2)*LN(F2))+(-0.0034385*G2^(1/2)*F2)+(0.00001886*G2*F2)</f>
        <v>9.4751984899099</v>
      </c>
      <c r="N2" s="21">
        <f>K2-M2</f>
        <v>1.1458138402051787E-3</v>
      </c>
      <c r="O2" s="2">
        <f>-60.4127+(3725.246/F2)+(-201.715*G2^(1/2)/F2)+(-0.07761*G2^(1/2)/(1+G2^(1/2)))+(10.03142*LN(F2))+(0.304366*G2^(1/2)*LN(F2))+(-0.003981*G2^(1/2)*F2)+(0.00001843*G2*F2)</f>
        <v>9.4759243178005619</v>
      </c>
      <c r="P2" s="2">
        <f>K2-O2</f>
        <v>4.1998594954328894E-4</v>
      </c>
      <c r="Q2" s="2">
        <f>-60.77408+(3740.7185/F2)+(-207.8923*G2^(1/2)/F2)+(-0.0781334*G2^(1/2)/(1+G2^(1/2)))+(10.08574*LN(F2))+(0.313662*G2^(1/2)*LN(F2))+(-0.004088*G2^(1/2)*F2)+(0.000018292*G2*F2)</f>
        <v>9.4759099086768899</v>
      </c>
      <c r="R2" s="2">
        <f>K2-Q2</f>
        <v>4.3439507321529902E-4</v>
      </c>
      <c r="S2" s="2">
        <f>-60.04385+88.29443*G2^0.5+3709.084*1/F2+2982.69818*G2^0.5/F2+(-0.0785885)*(G2^0.5/(1+G2^0.5))+9.9762129*LN(F2)+(-524.59154)*G2^0.5/LN(F2)+(-0.0213143)*G2^0.5*F2+0.00001828*G2*F2</f>
        <v>9.4759196996731418</v>
      </c>
      <c r="T2" s="2">
        <f>K2-S2</f>
        <v>4.246040769633197E-4</v>
      </c>
      <c r="U2" s="21">
        <f>-52.64408+75.863836*G2^0.5+3387.6804*1/F2+2567.69802*G2^0.5/F2+(-0.077835)*(G2^0.5/(1+G2^0.5))+8.86669*LN(F2)+(-450.889)*G2^0.5/LN(F2)+(-0.0183418)*G2^0.5*F2+0.000018531*G2*F2</f>
        <v>9.4750452970104462</v>
      </c>
      <c r="V2" s="21">
        <f>K2-U2</f>
        <v>1.2990067396589922E-3</v>
      </c>
    </row>
    <row r="3" spans="1:22" x14ac:dyDescent="0.2">
      <c r="A3" s="8">
        <v>2</v>
      </c>
      <c r="B3">
        <v>10</v>
      </c>
      <c r="C3">
        <f t="shared" ref="C3:C66" si="1">B3+273.15</f>
        <v>283.14999999999998</v>
      </c>
      <c r="D3">
        <v>0</v>
      </c>
      <c r="E3" s="4">
        <v>10</v>
      </c>
      <c r="F3">
        <v>283.14999999999998</v>
      </c>
      <c r="G3">
        <v>0</v>
      </c>
      <c r="H3" s="2">
        <v>9.3805996831057872</v>
      </c>
      <c r="I3" s="2">
        <f t="shared" ref="I3:I66" si="2">-LOG(EXP((-8966.9-2890.53*G3^(0.5)-77.942*G3+1.728*(G3)^1.5-0.0996*G3^2)/F3+(148.0248+137.1942*G3^(0.5)+1.62142*G3)+(-24.4344-25.085*G3^(0.5)-0.2474*G3)*LN(F3)+(0.053105*G3^0.5)*F3))</f>
        <v>9.3805996831057872</v>
      </c>
      <c r="K3" s="2">
        <v>9.3805996831057872</v>
      </c>
      <c r="L3" s="2">
        <f t="shared" ref="L3:L66" si="3">K3-I3</f>
        <v>0</v>
      </c>
      <c r="M3" s="21">
        <f t="shared" si="0"/>
        <v>9.3811757133619338</v>
      </c>
      <c r="N3" s="21">
        <f t="shared" ref="N3:N66" si="4">K3-M3</f>
        <v>-5.7603025614660908E-4</v>
      </c>
      <c r="O3" s="2">
        <f t="shared" ref="O3:O66" si="5">-60.4127+(3725.246/F3)+(-201.715*G3^(1/2)/F3)+(-0.07761*G3^(1/2)/(1+G3^(1/2)))+(10.03142*LN(F3))+(0.304366*G3^(1/2)*LN(F3))+(-0.003981*G3^(1/2)*F3)+(0.00001843*G3*F3)</f>
        <v>9.3809045658641352</v>
      </c>
      <c r="P3" s="2">
        <f t="shared" ref="P3:P66" si="6">K3-O3</f>
        <v>-3.0488275834805734E-4</v>
      </c>
      <c r="Q3" s="2">
        <f t="shared" ref="Q3:Q66" si="7">-60.77408+(3740.7185/F3)+(-207.8923*G3^(1/2)/F3)+(-0.0781334*G3^(1/2)/(1+G3^(1/2)))+(10.08574*LN(F3))+(0.313662*G3^(1/2)*LN(F3))+(-0.004088*G3^(1/2)*F3)+(0.000018292*G3*F3)</f>
        <v>9.380858206765204</v>
      </c>
      <c r="R3" s="2">
        <f t="shared" ref="R3:R66" si="8">K3-Q3</f>
        <v>-2.5852365941680944E-4</v>
      </c>
      <c r="S3" s="2">
        <f>-60.04385+88.29443*G3^0.5+3709.084*1/F3+2982.69818*G3^0.5/F3+(-0.0785885)*(G3^0.5/(1+G3^0.5))+9.9762129*LN(F3)+(-524.59154)*G3^0.5/LN(F3)+(-0.0213143)*G3^0.5*F3+0.00001828*G3*F3</f>
        <v>9.3809772738823938</v>
      </c>
      <c r="T3" s="2">
        <f t="shared" ref="T3:T66" si="9">K3-S3</f>
        <v>-3.7759077660659557E-4</v>
      </c>
      <c r="U3" s="21">
        <f t="shared" ref="U3:U66" si="10">-52.64408+75.863836*G3^0.5+3387.6804*1/F3+2567.69802*G3^0.5/F3+(-0.077835)*(G3^0.5/(1+G3^0.5))+8.86669*LN(F3)+(-450.889)*G3^0.5/LN(F3)+(-0.0183418)*G3^0.5*F3+0.000018531*G3*F3</f>
        <v>9.3813066060593329</v>
      </c>
      <c r="V3" s="21">
        <f t="shared" ref="V3:V66" si="11">K3-U3</f>
        <v>-7.0692295354568557E-4</v>
      </c>
    </row>
    <row r="4" spans="1:22" x14ac:dyDescent="0.2">
      <c r="A4" s="8">
        <v>3</v>
      </c>
      <c r="B4">
        <v>15</v>
      </c>
      <c r="C4">
        <f t="shared" si="1"/>
        <v>288.14999999999998</v>
      </c>
      <c r="D4">
        <v>0</v>
      </c>
      <c r="E4" s="4">
        <v>15</v>
      </c>
      <c r="F4">
        <v>288.14999999999998</v>
      </c>
      <c r="G4">
        <v>0</v>
      </c>
      <c r="H4" s="2">
        <v>9.327701400560402</v>
      </c>
      <c r="I4" s="2">
        <f t="shared" si="2"/>
        <v>9.327701400560402</v>
      </c>
      <c r="K4" s="2">
        <v>9.327701400560402</v>
      </c>
      <c r="L4" s="2">
        <f t="shared" si="3"/>
        <v>0</v>
      </c>
      <c r="M4" s="21">
        <f t="shared" si="0"/>
        <v>9.3287054799602629</v>
      </c>
      <c r="N4" s="21">
        <f t="shared" si="4"/>
        <v>-1.0040793998609132E-3</v>
      </c>
      <c r="O4" s="2">
        <f t="shared" si="5"/>
        <v>9.3282068911856157</v>
      </c>
      <c r="P4" s="2">
        <f t="shared" si="6"/>
        <v>-5.0549062521376698E-4</v>
      </c>
      <c r="Q4" s="2">
        <f t="shared" si="7"/>
        <v>9.3281631804392049</v>
      </c>
      <c r="R4" s="2">
        <f t="shared" si="8"/>
        <v>-4.6177987880291482E-4</v>
      </c>
      <c r="S4" s="2">
        <f t="shared" ref="S4:S66" si="12">-60.04385+88.29443*G4^0.5+3709.084*1/F4+2982.69818*G4^0.5/F4+(-0.0785885)*(G4^0.5/(1+G4^0.5))+9.9762129*LN(F4)+(-524.59154)*G4^0.5/LN(F4)+(-0.0213143)*G4^0.5*F4+0.00001828*G4*F4</f>
        <v>9.3283036768334355</v>
      </c>
      <c r="T4" s="2">
        <f t="shared" si="9"/>
        <v>-6.0227627303355291E-4</v>
      </c>
      <c r="U4" s="21">
        <f t="shared" si="10"/>
        <v>9.3289078335015887</v>
      </c>
      <c r="V4" s="21">
        <f t="shared" si="11"/>
        <v>-1.2064329411867192E-3</v>
      </c>
    </row>
    <row r="5" spans="1:22" x14ac:dyDescent="0.2">
      <c r="A5" s="8">
        <v>4</v>
      </c>
      <c r="B5">
        <v>20</v>
      </c>
      <c r="C5">
        <f t="shared" si="1"/>
        <v>293.14999999999998</v>
      </c>
      <c r="D5">
        <v>0</v>
      </c>
      <c r="E5" s="4">
        <v>20</v>
      </c>
      <c r="F5">
        <v>293.14999999999998</v>
      </c>
      <c r="G5">
        <v>0</v>
      </c>
      <c r="H5" s="2">
        <v>9.279748389054344</v>
      </c>
      <c r="I5" s="2">
        <f t="shared" si="2"/>
        <v>9.279748389054344</v>
      </c>
      <c r="K5" s="2">
        <v>9.279748389054344</v>
      </c>
      <c r="L5" s="2">
        <f t="shared" si="3"/>
        <v>0</v>
      </c>
      <c r="M5" s="21">
        <f t="shared" si="0"/>
        <v>9.2807220451230776</v>
      </c>
      <c r="N5" s="21">
        <f t="shared" si="4"/>
        <v>-9.7365606873367483E-4</v>
      </c>
      <c r="O5" s="2">
        <f t="shared" si="5"/>
        <v>9.2802758892571688</v>
      </c>
      <c r="P5" s="2">
        <f t="shared" si="6"/>
        <v>-5.2750020282488208E-4</v>
      </c>
      <c r="Q5" s="2">
        <f t="shared" si="7"/>
        <v>9.2802508138193929</v>
      </c>
      <c r="R5" s="2">
        <f t="shared" si="8"/>
        <v>-5.0242476504891442E-4</v>
      </c>
      <c r="S5" s="2">
        <f t="shared" si="12"/>
        <v>9.2803795913372369</v>
      </c>
      <c r="T5" s="2">
        <f t="shared" si="9"/>
        <v>-6.3120228289292868E-4</v>
      </c>
      <c r="U5" s="21">
        <f t="shared" si="10"/>
        <v>9.2809208079012038</v>
      </c>
      <c r="V5" s="21">
        <f t="shared" si="11"/>
        <v>-1.1724188468598129E-3</v>
      </c>
    </row>
    <row r="6" spans="1:22" x14ac:dyDescent="0.2">
      <c r="A6" s="8">
        <v>5</v>
      </c>
      <c r="B6">
        <v>25</v>
      </c>
      <c r="C6">
        <f t="shared" si="1"/>
        <v>298.14999999999998</v>
      </c>
      <c r="D6">
        <v>0</v>
      </c>
      <c r="E6" s="4">
        <v>25</v>
      </c>
      <c r="F6">
        <v>298.14999999999998</v>
      </c>
      <c r="G6">
        <v>0</v>
      </c>
      <c r="H6" s="2">
        <v>9.236439174278031</v>
      </c>
      <c r="I6" s="2">
        <f t="shared" si="2"/>
        <v>9.236439174278031</v>
      </c>
      <c r="K6" s="2">
        <v>9.236439174278031</v>
      </c>
      <c r="L6" s="2">
        <f t="shared" si="3"/>
        <v>0</v>
      </c>
      <c r="M6" s="21">
        <f t="shared" si="0"/>
        <v>9.236954444881448</v>
      </c>
      <c r="N6" s="21">
        <f t="shared" si="4"/>
        <v>-5.1527060341705067E-4</v>
      </c>
      <c r="O6" s="2">
        <f t="shared" si="5"/>
        <v>9.2368219517222343</v>
      </c>
      <c r="P6" s="2">
        <f t="shared" si="6"/>
        <v>-3.8277744420334159E-4</v>
      </c>
      <c r="Q6" s="2">
        <f t="shared" si="7"/>
        <v>9.2368304245975423</v>
      </c>
      <c r="R6" s="2">
        <f t="shared" si="8"/>
        <v>-3.9125031951137146E-4</v>
      </c>
      <c r="S6" s="2">
        <f t="shared" si="12"/>
        <v>9.2369165464688407</v>
      </c>
      <c r="T6" s="2">
        <f t="shared" si="9"/>
        <v>-4.7737219080978832E-4</v>
      </c>
      <c r="U6" s="21">
        <f t="shared" si="10"/>
        <v>9.2370795590146315</v>
      </c>
      <c r="V6" s="21">
        <f t="shared" si="11"/>
        <v>-6.4038473660055217E-4</v>
      </c>
    </row>
    <row r="7" spans="1:22" x14ac:dyDescent="0.2">
      <c r="A7" s="8">
        <v>6</v>
      </c>
      <c r="B7">
        <v>30</v>
      </c>
      <c r="C7">
        <f t="shared" si="1"/>
        <v>303.14999999999998</v>
      </c>
      <c r="D7">
        <v>0</v>
      </c>
      <c r="E7" s="4">
        <v>30</v>
      </c>
      <c r="F7">
        <v>303.14999999999998</v>
      </c>
      <c r="G7">
        <v>0</v>
      </c>
      <c r="H7" s="2">
        <v>9.197493909256881</v>
      </c>
      <c r="I7" s="2">
        <f t="shared" si="2"/>
        <v>9.197493909256881</v>
      </c>
      <c r="K7" s="2">
        <v>9.197493909256881</v>
      </c>
      <c r="L7" s="2">
        <f t="shared" si="3"/>
        <v>0</v>
      </c>
      <c r="M7" s="21">
        <f t="shared" si="0"/>
        <v>9.1971510841081354</v>
      </c>
      <c r="N7" s="21">
        <f t="shared" si="4"/>
        <v>3.4282514874561798E-4</v>
      </c>
      <c r="O7" s="2">
        <f t="shared" si="5"/>
        <v>9.1975762196787443</v>
      </c>
      <c r="P7" s="2">
        <f t="shared" si="6"/>
        <v>-8.231042186324089E-5</v>
      </c>
      <c r="Q7" s="2">
        <f t="shared" si="7"/>
        <v>9.1976321596687285</v>
      </c>
      <c r="R7" s="2">
        <f t="shared" si="8"/>
        <v>-1.3825041184745146E-4</v>
      </c>
      <c r="S7" s="2">
        <f t="shared" si="12"/>
        <v>9.1976467366756154</v>
      </c>
      <c r="T7" s="2">
        <f t="shared" si="9"/>
        <v>-1.5282741873434702E-4</v>
      </c>
      <c r="U7" s="21">
        <f t="shared" si="10"/>
        <v>9.1971371158049635</v>
      </c>
      <c r="V7" s="21">
        <f t="shared" si="11"/>
        <v>3.5679345191752532E-4</v>
      </c>
    </row>
    <row r="8" spans="1:22" x14ac:dyDescent="0.2">
      <c r="A8" s="8">
        <v>7</v>
      </c>
      <c r="B8">
        <v>35</v>
      </c>
      <c r="C8">
        <f t="shared" si="1"/>
        <v>308.14999999999998</v>
      </c>
      <c r="D8">
        <v>0</v>
      </c>
      <c r="E8" s="4">
        <v>35</v>
      </c>
      <c r="F8">
        <v>308.14999999999998</v>
      </c>
      <c r="G8">
        <v>0</v>
      </c>
      <c r="H8" s="2">
        <v>9.1626525351283945</v>
      </c>
      <c r="I8" s="2">
        <f t="shared" si="2"/>
        <v>9.1626525351283945</v>
      </c>
      <c r="K8" s="2">
        <v>9.1626525351283945</v>
      </c>
      <c r="L8" s="2">
        <f t="shared" si="3"/>
        <v>0</v>
      </c>
      <c r="M8" s="21">
        <f t="shared" si="0"/>
        <v>9.1610780924825121</v>
      </c>
      <c r="N8" s="21">
        <f t="shared" si="4"/>
        <v>1.5744426458823568E-3</v>
      </c>
      <c r="O8" s="2">
        <f t="shared" si="5"/>
        <v>9.1622888203051218</v>
      </c>
      <c r="P8" s="2">
        <f t="shared" si="6"/>
        <v>3.6371482327268723E-4</v>
      </c>
      <c r="Q8" s="2">
        <f t="shared" si="7"/>
        <v>9.1624052248542895</v>
      </c>
      <c r="R8" s="2">
        <f t="shared" si="8"/>
        <v>2.4731027410496154E-4</v>
      </c>
      <c r="S8" s="2">
        <f t="shared" si="12"/>
        <v>9.1623212656650637</v>
      </c>
      <c r="T8" s="2">
        <f t="shared" si="9"/>
        <v>3.3126946333084106E-4</v>
      </c>
      <c r="U8" s="21">
        <f t="shared" si="10"/>
        <v>9.1608638943513512</v>
      </c>
      <c r="V8" s="21">
        <f t="shared" si="11"/>
        <v>1.7886407770433266E-3</v>
      </c>
    </row>
    <row r="9" spans="1:22" x14ac:dyDescent="0.2">
      <c r="A9" s="8">
        <v>8</v>
      </c>
      <c r="B9">
        <v>2</v>
      </c>
      <c r="C9">
        <f t="shared" si="1"/>
        <v>275.14999999999998</v>
      </c>
      <c r="D9">
        <v>1.5</v>
      </c>
      <c r="E9" s="4">
        <f t="shared" ref="E9:E10" si="13">F9-273.15</f>
        <v>2.8100000000000023</v>
      </c>
      <c r="F9" s="3">
        <v>275.95999999999998</v>
      </c>
      <c r="G9">
        <v>1.5389999999999999</v>
      </c>
      <c r="H9" s="2">
        <v>9.2816954622092496</v>
      </c>
      <c r="I9" s="2">
        <f t="shared" si="2"/>
        <v>9.2851954622092503</v>
      </c>
      <c r="K9" s="2">
        <v>9.2816954622092496</v>
      </c>
      <c r="L9" s="2">
        <f t="shared" si="3"/>
        <v>-3.5000000000007248E-3</v>
      </c>
      <c r="M9" s="21">
        <f t="shared" si="0"/>
        <v>9.2823456084548379</v>
      </c>
      <c r="N9" s="21">
        <f t="shared" si="4"/>
        <v>-6.5014624558834555E-4</v>
      </c>
      <c r="O9" s="2">
        <f t="shared" si="5"/>
        <v>9.2829762068152633</v>
      </c>
      <c r="P9" s="2">
        <f t="shared" si="6"/>
        <v>-1.280744606013684E-3</v>
      </c>
      <c r="Q9" s="2">
        <f t="shared" si="7"/>
        <v>9.2830216306556146</v>
      </c>
      <c r="R9" s="2">
        <f t="shared" si="8"/>
        <v>-1.326168446365017E-3</v>
      </c>
      <c r="S9" s="2">
        <f t="shared" si="12"/>
        <v>9.282970678910198</v>
      </c>
      <c r="T9" s="2">
        <f t="shared" si="9"/>
        <v>-1.2752167009484339E-3</v>
      </c>
      <c r="U9" s="21">
        <f t="shared" si="10"/>
        <v>9.2822775627047207</v>
      </c>
      <c r="V9" s="21">
        <f t="shared" si="11"/>
        <v>-5.821004954711384E-4</v>
      </c>
    </row>
    <row r="10" spans="1:22" x14ac:dyDescent="0.2">
      <c r="A10" s="8">
        <v>9</v>
      </c>
      <c r="B10">
        <v>10</v>
      </c>
      <c r="C10">
        <f t="shared" si="1"/>
        <v>283.14999999999998</v>
      </c>
      <c r="D10">
        <v>1.5</v>
      </c>
      <c r="E10" s="4">
        <f t="shared" si="13"/>
        <v>10.514999999999986</v>
      </c>
      <c r="F10" s="3">
        <v>283.66499999999996</v>
      </c>
      <c r="G10">
        <v>1.5389999999999999</v>
      </c>
      <c r="H10" s="2">
        <v>9.1898538180847282</v>
      </c>
      <c r="I10" s="2">
        <f t="shared" si="2"/>
        <v>9.1921123406594347</v>
      </c>
      <c r="K10" s="2">
        <v>9.1898538180847282</v>
      </c>
      <c r="L10" s="2">
        <f t="shared" si="3"/>
        <v>-2.2585225747064896E-3</v>
      </c>
      <c r="M10" s="21">
        <f t="shared" si="0"/>
        <v>9.1897773852651259</v>
      </c>
      <c r="N10" s="21">
        <f t="shared" si="4"/>
        <v>7.6432819602345603E-5</v>
      </c>
      <c r="O10" s="2">
        <f t="shared" si="5"/>
        <v>9.189746252439047</v>
      </c>
      <c r="P10" s="2">
        <f t="shared" si="6"/>
        <v>1.0756564568126237E-4</v>
      </c>
      <c r="Q10" s="2">
        <f t="shared" si="7"/>
        <v>9.1898120740012263</v>
      </c>
      <c r="R10" s="2">
        <f t="shared" si="8"/>
        <v>4.1744083501882301E-5</v>
      </c>
      <c r="S10" s="2">
        <f t="shared" si="12"/>
        <v>9.1894886841927974</v>
      </c>
      <c r="T10" s="2">
        <f t="shared" si="9"/>
        <v>3.6513389193082446E-4</v>
      </c>
      <c r="U10" s="21">
        <f t="shared" si="10"/>
        <v>9.1896437572111811</v>
      </c>
      <c r="V10" s="21">
        <f t="shared" si="11"/>
        <v>2.1006087354713543E-4</v>
      </c>
    </row>
    <row r="11" spans="1:22" x14ac:dyDescent="0.2">
      <c r="A11" s="8">
        <v>10</v>
      </c>
      <c r="B11">
        <v>15</v>
      </c>
      <c r="C11">
        <f t="shared" si="1"/>
        <v>288.14999999999998</v>
      </c>
      <c r="D11">
        <v>1.5</v>
      </c>
      <c r="E11" s="4">
        <v>15.02</v>
      </c>
      <c r="F11">
        <f>E11+273.15</f>
        <v>288.16999999999996</v>
      </c>
      <c r="G11">
        <v>1.5389999999999999</v>
      </c>
      <c r="H11" s="2">
        <v>9.1413505036630003</v>
      </c>
      <c r="I11" s="2">
        <f t="shared" si="2"/>
        <v>9.1427373496795461</v>
      </c>
      <c r="K11" s="2">
        <v>9.1413505036630003</v>
      </c>
      <c r="L11" s="2">
        <f t="shared" si="3"/>
        <v>-1.3868460165458174E-3</v>
      </c>
      <c r="M11" s="21">
        <f t="shared" si="0"/>
        <v>9.1403241161462869</v>
      </c>
      <c r="N11" s="21">
        <f t="shared" si="4"/>
        <v>1.0263875167133563E-3</v>
      </c>
      <c r="O11" s="2">
        <f t="shared" si="5"/>
        <v>9.1401240802818737</v>
      </c>
      <c r="P11" s="2">
        <f t="shared" si="6"/>
        <v>1.2264233811265512E-3</v>
      </c>
      <c r="Q11" s="2">
        <f t="shared" si="7"/>
        <v>9.1401981863479467</v>
      </c>
      <c r="R11" s="2">
        <f t="shared" si="8"/>
        <v>1.1523173150536081E-3</v>
      </c>
      <c r="S11" s="2">
        <f t="shared" si="12"/>
        <v>9.1399298458944269</v>
      </c>
      <c r="T11" s="2">
        <f t="shared" si="9"/>
        <v>1.4206577685733635E-3</v>
      </c>
      <c r="U11" s="21">
        <f t="shared" si="10"/>
        <v>9.1402631151953617</v>
      </c>
      <c r="V11" s="21">
        <f t="shared" si="11"/>
        <v>1.0873884676385615E-3</v>
      </c>
    </row>
    <row r="12" spans="1:22" x14ac:dyDescent="0.2">
      <c r="A12" s="8">
        <v>11</v>
      </c>
      <c r="B12">
        <v>20</v>
      </c>
      <c r="C12">
        <f t="shared" si="1"/>
        <v>293.14999999999998</v>
      </c>
      <c r="D12">
        <v>1.5</v>
      </c>
      <c r="E12" s="4">
        <f t="shared" ref="E12:E44" si="14">F12-273.15</f>
        <v>19.985000000000014</v>
      </c>
      <c r="F12" s="3">
        <v>293.13499999999999</v>
      </c>
      <c r="G12">
        <v>1.5389999999999999</v>
      </c>
      <c r="H12" s="2">
        <v>9.0894468798349664</v>
      </c>
      <c r="I12" s="2">
        <f t="shared" si="2"/>
        <v>9.0922468392695386</v>
      </c>
      <c r="K12" s="2">
        <v>9.0894468798349664</v>
      </c>
      <c r="L12" s="2">
        <f t="shared" si="3"/>
        <v>-2.7999594345722301E-3</v>
      </c>
      <c r="M12" s="21">
        <f t="shared" si="0"/>
        <v>9.0895259758578106</v>
      </c>
      <c r="N12" s="21">
        <f t="shared" si="4"/>
        <v>-7.9096022844282743E-5</v>
      </c>
      <c r="O12" s="2">
        <f t="shared" si="5"/>
        <v>9.089309698605863</v>
      </c>
      <c r="P12" s="2">
        <f t="shared" si="6"/>
        <v>1.3718122910333364E-4</v>
      </c>
      <c r="Q12" s="2">
        <f t="shared" si="7"/>
        <v>9.0893896328160011</v>
      </c>
      <c r="R12" s="2">
        <f t="shared" si="8"/>
        <v>5.7247018965256302E-5</v>
      </c>
      <c r="S12" s="2">
        <f t="shared" si="12"/>
        <v>9.0892638809517496</v>
      </c>
      <c r="T12" s="2">
        <f t="shared" si="9"/>
        <v>1.8299888321671176E-4</v>
      </c>
      <c r="U12" s="21">
        <f t="shared" si="10"/>
        <v>9.0895572472478214</v>
      </c>
      <c r="V12" s="21">
        <f t="shared" si="11"/>
        <v>-1.1036741285508356E-4</v>
      </c>
    </row>
    <row r="13" spans="1:22" x14ac:dyDescent="0.2">
      <c r="A13" s="8">
        <v>12</v>
      </c>
      <c r="B13">
        <v>25</v>
      </c>
      <c r="C13">
        <f t="shared" si="1"/>
        <v>298.14999999999998</v>
      </c>
      <c r="D13">
        <v>1.5</v>
      </c>
      <c r="E13" s="4">
        <f t="shared" si="14"/>
        <v>24.649999999999977</v>
      </c>
      <c r="F13" s="3">
        <v>297.79999999999995</v>
      </c>
      <c r="G13">
        <v>1.5389999999999999</v>
      </c>
      <c r="H13" s="2">
        <v>9.0479737153482098</v>
      </c>
      <c r="I13" s="2">
        <f t="shared" si="2"/>
        <v>9.0482780801327873</v>
      </c>
      <c r="K13" s="2">
        <v>9.0479737153482098</v>
      </c>
      <c r="L13" s="2">
        <f t="shared" si="3"/>
        <v>-3.0436478457751548E-4</v>
      </c>
      <c r="M13" s="21">
        <f t="shared" si="0"/>
        <v>9.0451292269608015</v>
      </c>
      <c r="N13" s="21">
        <f t="shared" si="4"/>
        <v>2.8444883874083615E-3</v>
      </c>
      <c r="O13" s="2">
        <f t="shared" si="5"/>
        <v>9.0450482109042056</v>
      </c>
      <c r="P13" s="2">
        <f t="shared" si="6"/>
        <v>2.92550444400419E-3</v>
      </c>
      <c r="Q13" s="2">
        <f t="shared" si="7"/>
        <v>9.0451303386899333</v>
      </c>
      <c r="R13" s="2">
        <f t="shared" si="8"/>
        <v>2.8433766582764974E-3</v>
      </c>
      <c r="S13" s="2">
        <f t="shared" si="12"/>
        <v>9.04514599115811</v>
      </c>
      <c r="T13" s="2">
        <f t="shared" si="9"/>
        <v>2.8277241900998007E-3</v>
      </c>
      <c r="U13" s="21">
        <f t="shared" si="10"/>
        <v>9.0452012056267108</v>
      </c>
      <c r="V13" s="21">
        <f t="shared" si="11"/>
        <v>2.7725097214990058E-3</v>
      </c>
    </row>
    <row r="14" spans="1:22" x14ac:dyDescent="0.2">
      <c r="A14" s="17">
        <v>13</v>
      </c>
      <c r="B14">
        <v>30</v>
      </c>
      <c r="C14">
        <f t="shared" si="1"/>
        <v>303.14999999999998</v>
      </c>
      <c r="D14">
        <v>1.5</v>
      </c>
      <c r="E14" s="4">
        <f t="shared" si="14"/>
        <v>30.225000000000023</v>
      </c>
      <c r="F14" s="3">
        <v>303.375</v>
      </c>
      <c r="G14">
        <v>1.5389999999999999</v>
      </c>
      <c r="H14" s="2">
        <v>8.9939324605153796</v>
      </c>
      <c r="I14" s="2">
        <f t="shared" si="2"/>
        <v>8.9997894961492992</v>
      </c>
      <c r="K14" s="2">
        <v>8.9939324605153796</v>
      </c>
      <c r="L14" s="2">
        <f t="shared" si="3"/>
        <v>-5.8570356339195939E-3</v>
      </c>
      <c r="M14" s="21">
        <f t="shared" si="0"/>
        <v>8.9960425531929538</v>
      </c>
      <c r="N14" s="21">
        <f t="shared" si="4"/>
        <v>-2.1100926775741158E-3</v>
      </c>
      <c r="O14" s="2">
        <f t="shared" si="5"/>
        <v>8.9962995389140605</v>
      </c>
      <c r="P14" s="2">
        <f t="shared" si="6"/>
        <v>-2.3670783986808885E-3</v>
      </c>
      <c r="Q14" s="2">
        <f t="shared" si="7"/>
        <v>8.9963799666235786</v>
      </c>
      <c r="R14" s="2">
        <f t="shared" si="8"/>
        <v>-2.4475061081989935E-3</v>
      </c>
      <c r="S14" s="2">
        <f t="shared" si="12"/>
        <v>8.9964868941382221</v>
      </c>
      <c r="T14" s="2">
        <f t="shared" si="9"/>
        <v>-2.5544336228424669E-3</v>
      </c>
      <c r="U14" s="21">
        <f t="shared" si="10"/>
        <v>8.9960339047750573</v>
      </c>
      <c r="V14" s="21">
        <f t="shared" si="11"/>
        <v>-2.1014442596776206E-3</v>
      </c>
    </row>
    <row r="15" spans="1:22" x14ac:dyDescent="0.2">
      <c r="A15" s="8">
        <v>14</v>
      </c>
      <c r="B15">
        <v>35</v>
      </c>
      <c r="C15">
        <f t="shared" si="1"/>
        <v>308.14999999999998</v>
      </c>
      <c r="D15">
        <v>1.5</v>
      </c>
      <c r="E15" s="4">
        <f t="shared" si="14"/>
        <v>34.06</v>
      </c>
      <c r="F15">
        <v>307.20999999999998</v>
      </c>
      <c r="G15">
        <v>2.129</v>
      </c>
      <c r="H15" s="2">
        <v>8.9341368171409883</v>
      </c>
      <c r="I15" s="2">
        <f t="shared" si="2"/>
        <v>8.9385257060356231</v>
      </c>
      <c r="K15" s="2">
        <v>8.9341368171409883</v>
      </c>
      <c r="L15" s="2">
        <f t="shared" si="3"/>
        <v>-4.3888888946348459E-3</v>
      </c>
      <c r="M15" s="21">
        <f t="shared" si="0"/>
        <v>8.9351502544957331</v>
      </c>
      <c r="N15" s="21">
        <f t="shared" si="4"/>
        <v>-1.013437354744795E-3</v>
      </c>
      <c r="O15" s="2">
        <f t="shared" si="5"/>
        <v>8.9357008802878184</v>
      </c>
      <c r="P15" s="2">
        <f t="shared" si="6"/>
        <v>-1.5640631468301081E-3</v>
      </c>
      <c r="Q15" s="2">
        <f t="shared" si="7"/>
        <v>8.9357892353752995</v>
      </c>
      <c r="R15" s="2">
        <f t="shared" si="8"/>
        <v>-1.6524182343111704E-3</v>
      </c>
      <c r="S15" s="2">
        <f t="shared" si="12"/>
        <v>8.9359132532564534</v>
      </c>
      <c r="T15" s="2">
        <f t="shared" si="9"/>
        <v>-1.7764361154650743E-3</v>
      </c>
      <c r="U15" s="21">
        <f t="shared" si="10"/>
        <v>8.9350256595128013</v>
      </c>
      <c r="V15" s="21">
        <f t="shared" si="11"/>
        <v>-8.888423718129701E-4</v>
      </c>
    </row>
    <row r="16" spans="1:22" x14ac:dyDescent="0.2">
      <c r="A16" s="8">
        <v>15</v>
      </c>
      <c r="B16">
        <v>2</v>
      </c>
      <c r="C16">
        <f t="shared" si="1"/>
        <v>275.14999999999998</v>
      </c>
      <c r="D16">
        <v>3</v>
      </c>
      <c r="E16" s="4">
        <f t="shared" si="14"/>
        <v>2.5600000000000023</v>
      </c>
      <c r="F16" s="3">
        <v>275.70999999999998</v>
      </c>
      <c r="G16">
        <v>3.0430000000000001</v>
      </c>
      <c r="H16" s="2">
        <v>9.2264391742780294</v>
      </c>
      <c r="I16" s="2">
        <f t="shared" si="2"/>
        <v>9.2284431152667654</v>
      </c>
      <c r="K16" s="2">
        <v>9.2264391742780294</v>
      </c>
      <c r="L16" s="2">
        <f t="shared" si="3"/>
        <v>-2.0039409887360193E-3</v>
      </c>
      <c r="M16" s="21">
        <f t="shared" si="0"/>
        <v>9.2268051398002253</v>
      </c>
      <c r="N16" s="21">
        <f t="shared" si="4"/>
        <v>-3.6596552219592127E-4</v>
      </c>
      <c r="O16" s="2">
        <f t="shared" si="5"/>
        <v>9.2275711222372561</v>
      </c>
      <c r="P16" s="2">
        <f t="shared" si="6"/>
        <v>-1.1319479592266646E-3</v>
      </c>
      <c r="Q16" s="2">
        <f t="shared" si="7"/>
        <v>9.2276826454263148</v>
      </c>
      <c r="R16" s="2">
        <f t="shared" si="8"/>
        <v>-1.24347114828538E-3</v>
      </c>
      <c r="S16" s="2">
        <f t="shared" si="12"/>
        <v>9.2276928884148219</v>
      </c>
      <c r="T16" s="2">
        <f t="shared" si="9"/>
        <v>-1.2537141367925386E-3</v>
      </c>
      <c r="U16" s="21">
        <f t="shared" si="10"/>
        <v>9.2269226274700689</v>
      </c>
      <c r="V16" s="21">
        <f t="shared" si="11"/>
        <v>-4.8345319203946246E-4</v>
      </c>
    </row>
    <row r="17" spans="1:22" x14ac:dyDescent="0.2">
      <c r="A17" s="8">
        <v>16</v>
      </c>
      <c r="B17">
        <v>10</v>
      </c>
      <c r="C17">
        <f t="shared" si="1"/>
        <v>283.14999999999998</v>
      </c>
      <c r="D17">
        <v>3</v>
      </c>
      <c r="E17" s="4">
        <f t="shared" si="14"/>
        <v>10.555000000000007</v>
      </c>
      <c r="F17" s="3">
        <v>283.70499999999998</v>
      </c>
      <c r="G17">
        <v>3.0430000000000001</v>
      </c>
      <c r="H17" s="2">
        <v>9.1325983446066221</v>
      </c>
      <c r="I17" s="2">
        <f t="shared" si="2"/>
        <v>9.1306895680624933</v>
      </c>
      <c r="K17" s="2">
        <v>9.1325983446066221</v>
      </c>
      <c r="L17" s="2">
        <f t="shared" si="3"/>
        <v>1.9087765441287985E-3</v>
      </c>
      <c r="M17" s="21">
        <f t="shared" si="0"/>
        <v>9.1294612972948919</v>
      </c>
      <c r="N17" s="21">
        <f t="shared" si="4"/>
        <v>3.1370473117302566E-3</v>
      </c>
      <c r="O17" s="2">
        <f t="shared" si="5"/>
        <v>9.1296304393665029</v>
      </c>
      <c r="P17" s="2">
        <f t="shared" si="6"/>
        <v>2.9679052401192507E-3</v>
      </c>
      <c r="Q17" s="2">
        <f t="shared" si="7"/>
        <v>9.1297825614640651</v>
      </c>
      <c r="R17" s="2">
        <f t="shared" si="8"/>
        <v>2.8157831425570379E-3</v>
      </c>
      <c r="S17" s="2">
        <f t="shared" si="12"/>
        <v>9.1293398319139314</v>
      </c>
      <c r="T17" s="2">
        <f t="shared" si="9"/>
        <v>3.2585126926907293E-3</v>
      </c>
      <c r="U17" s="21">
        <f t="shared" si="10"/>
        <v>9.1293631425956097</v>
      </c>
      <c r="V17" s="21">
        <f t="shared" si="11"/>
        <v>3.2352020110124613E-3</v>
      </c>
    </row>
    <row r="18" spans="1:22" x14ac:dyDescent="0.2">
      <c r="A18" s="17">
        <v>17</v>
      </c>
      <c r="B18">
        <v>15</v>
      </c>
      <c r="C18">
        <f t="shared" si="1"/>
        <v>288.14999999999998</v>
      </c>
      <c r="D18">
        <v>3</v>
      </c>
      <c r="E18" s="4">
        <f t="shared" si="14"/>
        <v>15.220000000000027</v>
      </c>
      <c r="F18">
        <v>288.37</v>
      </c>
      <c r="G18">
        <v>3.0430000000000001</v>
      </c>
      <c r="H18" s="2">
        <v>9.0792442506120992</v>
      </c>
      <c r="I18" s="2">
        <f t="shared" si="2"/>
        <v>9.0787669141751746</v>
      </c>
      <c r="K18" s="2">
        <v>9.0792442506120992</v>
      </c>
      <c r="L18" s="2">
        <f t="shared" si="3"/>
        <v>4.7733643692460248E-4</v>
      </c>
      <c r="M18" s="21">
        <f t="shared" si="0"/>
        <v>9.077403921248262</v>
      </c>
      <c r="N18" s="21">
        <f t="shared" si="4"/>
        <v>1.8403293638371565E-3</v>
      </c>
      <c r="O18" s="2">
        <f t="shared" si="5"/>
        <v>9.0774088801782238</v>
      </c>
      <c r="P18" s="2">
        <f t="shared" si="6"/>
        <v>1.8353704338753829E-3</v>
      </c>
      <c r="Q18" s="2">
        <f t="shared" si="7"/>
        <v>9.0775709000332103</v>
      </c>
      <c r="R18" s="2">
        <f t="shared" si="8"/>
        <v>1.6733505788888436E-3</v>
      </c>
      <c r="S18" s="2">
        <f t="shared" si="12"/>
        <v>9.0772049343173542</v>
      </c>
      <c r="T18" s="2">
        <f t="shared" si="9"/>
        <v>2.0393162947449639E-3</v>
      </c>
      <c r="U18" s="21">
        <f t="shared" si="10"/>
        <v>9.0773866199771174</v>
      </c>
      <c r="V18" s="21">
        <f t="shared" si="11"/>
        <v>1.8576306349817884E-3</v>
      </c>
    </row>
    <row r="19" spans="1:22" x14ac:dyDescent="0.2">
      <c r="A19" s="17">
        <v>18</v>
      </c>
      <c r="B19">
        <v>20</v>
      </c>
      <c r="C19">
        <f t="shared" si="1"/>
        <v>293.14999999999998</v>
      </c>
      <c r="D19">
        <v>3</v>
      </c>
      <c r="E19" s="4">
        <f t="shared" si="14"/>
        <v>20.060000000000002</v>
      </c>
      <c r="F19">
        <v>293.20999999999998</v>
      </c>
      <c r="G19">
        <v>3.0430000000000001</v>
      </c>
      <c r="H19" s="2">
        <v>9.0266279869348995</v>
      </c>
      <c r="I19" s="2">
        <f t="shared" si="2"/>
        <v>9.02847494922122</v>
      </c>
      <c r="K19" s="2">
        <v>9.0266279869348995</v>
      </c>
      <c r="L19" s="2">
        <f t="shared" si="3"/>
        <v>-1.8469622863204194E-3</v>
      </c>
      <c r="M19" s="21">
        <f t="shared" si="0"/>
        <v>9.0268130655755208</v>
      </c>
      <c r="N19" s="21">
        <f t="shared" si="4"/>
        <v>-1.8507864062122792E-4</v>
      </c>
      <c r="O19" s="2">
        <f t="shared" si="5"/>
        <v>9.0267768714792584</v>
      </c>
      <c r="P19" s="2">
        <f t="shared" si="6"/>
        <v>-1.4888454435890708E-4</v>
      </c>
      <c r="Q19" s="2">
        <f t="shared" si="7"/>
        <v>9.0269386619498473</v>
      </c>
      <c r="R19" s="2">
        <f t="shared" si="8"/>
        <v>-3.1067501494774774E-4</v>
      </c>
      <c r="S19" s="2">
        <f t="shared" si="12"/>
        <v>9.0267750018719521</v>
      </c>
      <c r="T19" s="2">
        <f t="shared" si="9"/>
        <v>-1.4701493705260305E-4</v>
      </c>
      <c r="U19" s="21">
        <f t="shared" si="10"/>
        <v>9.0269224733257065</v>
      </c>
      <c r="V19" s="21">
        <f t="shared" si="11"/>
        <v>-2.9448639080698058E-4</v>
      </c>
    </row>
    <row r="20" spans="1:22" x14ac:dyDescent="0.2">
      <c r="A20" s="8">
        <v>19</v>
      </c>
      <c r="B20">
        <v>25</v>
      </c>
      <c r="C20">
        <f t="shared" si="1"/>
        <v>298.14999999999998</v>
      </c>
      <c r="D20">
        <v>3</v>
      </c>
      <c r="E20" s="4">
        <f t="shared" si="14"/>
        <v>24.660000000000025</v>
      </c>
      <c r="F20">
        <v>297.81</v>
      </c>
      <c r="G20">
        <v>3.0430000000000001</v>
      </c>
      <c r="H20" s="2">
        <v>8.9785222278566614</v>
      </c>
      <c r="I20" s="2">
        <f t="shared" si="2"/>
        <v>8.9837731840045532</v>
      </c>
      <c r="K20" s="2">
        <v>8.9785222278566614</v>
      </c>
      <c r="L20" s="2">
        <f t="shared" si="3"/>
        <v>-5.2509561478917277E-3</v>
      </c>
      <c r="M20" s="21">
        <f t="shared" si="0"/>
        <v>8.9817668011183152</v>
      </c>
      <c r="N20" s="21">
        <f t="shared" si="4"/>
        <v>-3.2445732616537271E-3</v>
      </c>
      <c r="O20" s="2">
        <f t="shared" si="5"/>
        <v>8.981803602341893</v>
      </c>
      <c r="P20" s="2">
        <f t="shared" si="6"/>
        <v>-3.2813744852315807E-3</v>
      </c>
      <c r="Q20" s="2">
        <f t="shared" si="7"/>
        <v>8.9819554485013633</v>
      </c>
      <c r="R20" s="2">
        <f t="shared" si="8"/>
        <v>-3.4332206447018621E-3</v>
      </c>
      <c r="S20" s="2">
        <f t="shared" si="12"/>
        <v>8.9820032026842807</v>
      </c>
      <c r="T20" s="2">
        <f t="shared" si="9"/>
        <v>-3.4809748276192209E-3</v>
      </c>
      <c r="U20" s="21">
        <f t="shared" si="10"/>
        <v>8.9819573169646159</v>
      </c>
      <c r="V20" s="21">
        <f t="shared" si="11"/>
        <v>-3.4350891079544255E-3</v>
      </c>
    </row>
    <row r="21" spans="1:22" x14ac:dyDescent="0.2">
      <c r="A21" s="8">
        <v>20</v>
      </c>
      <c r="B21">
        <v>30</v>
      </c>
      <c r="C21">
        <f t="shared" si="1"/>
        <v>303.14999999999998</v>
      </c>
      <c r="D21">
        <v>3</v>
      </c>
      <c r="E21" s="4">
        <f t="shared" si="14"/>
        <v>29.120000000000005</v>
      </c>
      <c r="F21" s="3">
        <v>302.27</v>
      </c>
      <c r="G21">
        <v>3.0430000000000001</v>
      </c>
      <c r="H21" s="2">
        <v>8.9413681714099003</v>
      </c>
      <c r="I21" s="2">
        <f t="shared" si="2"/>
        <v>8.9430744290831274</v>
      </c>
      <c r="K21" s="2">
        <v>8.9413681714099003</v>
      </c>
      <c r="L21" s="2">
        <f t="shared" si="3"/>
        <v>-1.706257673227185E-3</v>
      </c>
      <c r="M21" s="21">
        <f t="shared" si="0"/>
        <v>8.940752727452475</v>
      </c>
      <c r="N21" s="21">
        <f t="shared" si="4"/>
        <v>6.15443957425299E-4</v>
      </c>
      <c r="O21" s="2">
        <f t="shared" si="5"/>
        <v>8.9409562715305739</v>
      </c>
      <c r="P21" s="2">
        <f t="shared" si="6"/>
        <v>4.1189987932632732E-4</v>
      </c>
      <c r="Q21" s="2">
        <f t="shared" si="7"/>
        <v>8.9410895912000292</v>
      </c>
      <c r="R21" s="2">
        <f t="shared" si="8"/>
        <v>2.7858020987103771E-4</v>
      </c>
      <c r="S21" s="2">
        <f t="shared" si="12"/>
        <v>8.9412798784574115</v>
      </c>
      <c r="T21" s="2">
        <f t="shared" si="9"/>
        <v>8.829295248879987E-5</v>
      </c>
      <c r="U21" s="21">
        <f t="shared" si="10"/>
        <v>8.940919162098762</v>
      </c>
      <c r="V21" s="21">
        <f t="shared" si="11"/>
        <v>4.4900931113822651E-4</v>
      </c>
    </row>
    <row r="22" spans="1:22" x14ac:dyDescent="0.2">
      <c r="A22" s="8">
        <v>21</v>
      </c>
      <c r="B22">
        <v>35</v>
      </c>
      <c r="C22">
        <f t="shared" si="1"/>
        <v>308.14999999999998</v>
      </c>
      <c r="D22">
        <v>3</v>
      </c>
      <c r="E22" s="4">
        <f t="shared" si="14"/>
        <v>35.289999999999964</v>
      </c>
      <c r="F22" s="3">
        <v>308.43999999999994</v>
      </c>
      <c r="G22">
        <v>3.0430000000000001</v>
      </c>
      <c r="H22" s="2">
        <v>8.8910888943408608</v>
      </c>
      <c r="I22" s="2">
        <f t="shared" si="2"/>
        <v>8.8906697343994807</v>
      </c>
      <c r="K22" s="2">
        <v>8.8910888943408608</v>
      </c>
      <c r="L22" s="2">
        <f t="shared" si="3"/>
        <v>4.1915994138008728E-4</v>
      </c>
      <c r="M22" s="21">
        <f t="shared" si="0"/>
        <v>8.8880625747949296</v>
      </c>
      <c r="N22" s="21">
        <f t="shared" si="4"/>
        <v>3.0263195459312442E-3</v>
      </c>
      <c r="O22" s="2">
        <f t="shared" si="5"/>
        <v>8.8886388827950462</v>
      </c>
      <c r="P22" s="2">
        <f t="shared" si="6"/>
        <v>2.4500115458145899E-3</v>
      </c>
      <c r="Q22" s="2">
        <f t="shared" si="7"/>
        <v>8.888732441655149</v>
      </c>
      <c r="R22" s="2">
        <f t="shared" si="8"/>
        <v>2.3564526857118295E-3</v>
      </c>
      <c r="S22" s="2">
        <f t="shared" si="12"/>
        <v>8.8888903145319826</v>
      </c>
      <c r="T22" s="2">
        <f t="shared" si="9"/>
        <v>2.198579808878165E-3</v>
      </c>
      <c r="U22" s="21">
        <f t="shared" si="10"/>
        <v>8.8879234541538956</v>
      </c>
      <c r="V22" s="21">
        <f t="shared" si="11"/>
        <v>3.1654401869651849E-3</v>
      </c>
    </row>
    <row r="23" spans="1:22" x14ac:dyDescent="0.2">
      <c r="A23" s="8">
        <v>22</v>
      </c>
      <c r="B23">
        <v>2</v>
      </c>
      <c r="C23">
        <f t="shared" si="1"/>
        <v>275.14999999999998</v>
      </c>
      <c r="D23">
        <v>5</v>
      </c>
      <c r="E23" s="4">
        <f t="shared" si="14"/>
        <v>3.1166666666666742</v>
      </c>
      <c r="F23" s="3">
        <v>276.26666666666665</v>
      </c>
      <c r="G23">
        <v>4.4669999999999996</v>
      </c>
      <c r="H23" s="2">
        <v>9.1776028068965907</v>
      </c>
      <c r="I23" s="2">
        <f t="shared" si="2"/>
        <v>9.1809028068965901</v>
      </c>
      <c r="K23" s="2">
        <v>9.1776028068965907</v>
      </c>
      <c r="L23" s="2">
        <f t="shared" si="3"/>
        <v>-3.2999999999994145E-3</v>
      </c>
      <c r="M23" s="21">
        <f t="shared" si="0"/>
        <v>9.1795770077856407</v>
      </c>
      <c r="N23" s="21">
        <f t="shared" si="4"/>
        <v>-1.9742008890499818E-3</v>
      </c>
      <c r="O23" s="2">
        <f t="shared" si="5"/>
        <v>9.180357393622737</v>
      </c>
      <c r="P23" s="2">
        <f t="shared" si="6"/>
        <v>-2.7545867261462575E-3</v>
      </c>
      <c r="Q23" s="2">
        <f t="shared" si="7"/>
        <v>9.1805197633611755</v>
      </c>
      <c r="R23" s="2">
        <f t="shared" si="8"/>
        <v>-2.9169564645847856E-3</v>
      </c>
      <c r="S23" s="2">
        <f t="shared" si="12"/>
        <v>9.1804856135304522</v>
      </c>
      <c r="T23" s="2">
        <f t="shared" si="9"/>
        <v>-2.8828066338615344E-3</v>
      </c>
      <c r="U23" s="21">
        <f t="shared" si="10"/>
        <v>9.1797705094806759</v>
      </c>
      <c r="V23" s="21">
        <f t="shared" si="11"/>
        <v>-2.1677025840851627E-3</v>
      </c>
    </row>
    <row r="24" spans="1:22" x14ac:dyDescent="0.2">
      <c r="A24" s="8">
        <v>23</v>
      </c>
      <c r="B24">
        <v>10</v>
      </c>
      <c r="C24">
        <f t="shared" si="1"/>
        <v>283.14999999999998</v>
      </c>
      <c r="D24">
        <v>5</v>
      </c>
      <c r="E24" s="4">
        <f t="shared" si="14"/>
        <v>10.409999999999968</v>
      </c>
      <c r="F24">
        <v>283.55999999999995</v>
      </c>
      <c r="G24">
        <v>5.8970000000000002</v>
      </c>
      <c r="H24" s="2">
        <v>9.0541888318700003</v>
      </c>
      <c r="I24" s="2">
        <f t="shared" si="2"/>
        <v>9.0583187008418751</v>
      </c>
      <c r="K24" s="2">
        <v>9.0541888318700003</v>
      </c>
      <c r="L24" s="2">
        <f t="shared" si="3"/>
        <v>-4.1298689718747283E-3</v>
      </c>
      <c r="M24" s="21">
        <f t="shared" si="0"/>
        <v>9.0571915681136428</v>
      </c>
      <c r="N24" s="21">
        <f t="shared" si="4"/>
        <v>-3.0027362436424454E-3</v>
      </c>
      <c r="O24" s="2">
        <f t="shared" si="5"/>
        <v>9.0575956940657978</v>
      </c>
      <c r="P24" s="2">
        <f t="shared" si="6"/>
        <v>-3.4068621957974443E-3</v>
      </c>
      <c r="Q24" s="2">
        <f t="shared" si="7"/>
        <v>9.0578525454316914</v>
      </c>
      <c r="R24" s="2">
        <f t="shared" si="8"/>
        <v>-3.6637135616910399E-3</v>
      </c>
      <c r="S24" s="2">
        <f t="shared" si="12"/>
        <v>9.057263891683899</v>
      </c>
      <c r="T24" s="2">
        <f t="shared" si="9"/>
        <v>-3.0750598138986618E-3</v>
      </c>
      <c r="U24" s="21">
        <f t="shared" si="10"/>
        <v>9.0571268961318268</v>
      </c>
      <c r="V24" s="21">
        <f t="shared" si="11"/>
        <v>-2.9380642618264119E-3</v>
      </c>
    </row>
    <row r="25" spans="1:22" x14ac:dyDescent="0.2">
      <c r="A25" s="17">
        <v>24</v>
      </c>
      <c r="B25">
        <v>15</v>
      </c>
      <c r="C25">
        <f t="shared" si="1"/>
        <v>288.14999999999998</v>
      </c>
      <c r="D25">
        <v>5</v>
      </c>
      <c r="E25" s="4">
        <f t="shared" si="14"/>
        <v>15.340000000000032</v>
      </c>
      <c r="F25">
        <v>288.49</v>
      </c>
      <c r="G25">
        <v>5.8970000000000002</v>
      </c>
      <c r="H25" s="2">
        <v>9.0003452256033594</v>
      </c>
      <c r="I25" s="2">
        <f>-LOG(EXP((-8966.9-2890.53*G25^(0.5)-77.942*G25+1.728*(G25)^1.5-0.0996*G25^2)/F25+(148.0248+137.1942*G25^(0.5)+1.62142*G25)+(-24.4344-25.085*G25^(0.5)-0.2474*G25)*LN(F25)+(0.053105*G25^0.5)*F25))</f>
        <v>9.0021625067579372</v>
      </c>
      <c r="K25" s="2">
        <v>9.0003452256033594</v>
      </c>
      <c r="L25" s="2">
        <f t="shared" si="3"/>
        <v>-1.8172811545777989E-3</v>
      </c>
      <c r="M25" s="21">
        <f t="shared" si="0"/>
        <v>9.0008971983759416</v>
      </c>
      <c r="N25" s="21">
        <f t="shared" si="4"/>
        <v>-5.519727725822321E-4</v>
      </c>
      <c r="O25" s="2">
        <f t="shared" si="5"/>
        <v>9.0011352257907351</v>
      </c>
      <c r="P25" s="2">
        <f t="shared" si="6"/>
        <v>-7.9000018737573896E-4</v>
      </c>
      <c r="Q25" s="2">
        <f t="shared" si="7"/>
        <v>9.0014040461977327</v>
      </c>
      <c r="R25" s="2">
        <f t="shared" si="8"/>
        <v>-1.0588205943733442E-3</v>
      </c>
      <c r="S25" s="2">
        <f t="shared" si="12"/>
        <v>9.0009195085098614</v>
      </c>
      <c r="T25" s="2">
        <f t="shared" si="9"/>
        <v>-5.7428290650207714E-4</v>
      </c>
      <c r="U25" s="21">
        <f t="shared" si="10"/>
        <v>9.0009224432793644</v>
      </c>
      <c r="V25" s="21">
        <f t="shared" si="11"/>
        <v>-5.7721767600504847E-4</v>
      </c>
    </row>
    <row r="26" spans="1:22" x14ac:dyDescent="0.2">
      <c r="A26" s="8">
        <v>25</v>
      </c>
      <c r="B26">
        <v>20</v>
      </c>
      <c r="C26">
        <f t="shared" si="1"/>
        <v>293.14999999999998</v>
      </c>
      <c r="D26">
        <v>5</v>
      </c>
      <c r="E26" s="4">
        <f t="shared" si="14"/>
        <v>20.050000000000011</v>
      </c>
      <c r="F26">
        <v>293.2</v>
      </c>
      <c r="G26" s="4">
        <v>5.9045000000000005</v>
      </c>
      <c r="H26" s="2">
        <v>8.9526014268523291</v>
      </c>
      <c r="I26" s="2">
        <f t="shared" si="2"/>
        <v>8.9515610421001863</v>
      </c>
      <c r="K26" s="2">
        <v>8.9526014268523291</v>
      </c>
      <c r="L26" s="2">
        <f t="shared" si="3"/>
        <v>1.0403847521427423E-3</v>
      </c>
      <c r="M26" s="21">
        <f t="shared" si="0"/>
        <v>8.9500568219901169</v>
      </c>
      <c r="N26" s="21">
        <f t="shared" si="4"/>
        <v>2.5446048622121964E-3</v>
      </c>
      <c r="O26" s="2">
        <f t="shared" si="5"/>
        <v>8.9502147719117833</v>
      </c>
      <c r="P26" s="2">
        <f t="shared" si="6"/>
        <v>2.386654940545796E-3</v>
      </c>
      <c r="Q26" s="2">
        <f t="shared" si="7"/>
        <v>8.9504751280527461</v>
      </c>
      <c r="R26" s="2">
        <f t="shared" si="8"/>
        <v>2.1262987995829263E-3</v>
      </c>
      <c r="S26" s="2">
        <f t="shared" si="12"/>
        <v>8.9502706720690366</v>
      </c>
      <c r="T26" s="2">
        <f t="shared" si="9"/>
        <v>2.3307547832924769E-3</v>
      </c>
      <c r="U26" s="21">
        <f t="shared" si="10"/>
        <v>8.9502539113087245</v>
      </c>
      <c r="V26" s="21">
        <f t="shared" si="11"/>
        <v>2.3475155436045725E-3</v>
      </c>
    </row>
    <row r="27" spans="1:22" x14ac:dyDescent="0.2">
      <c r="A27" s="8">
        <v>26</v>
      </c>
      <c r="B27">
        <v>25</v>
      </c>
      <c r="C27">
        <f t="shared" si="1"/>
        <v>298.14999999999998</v>
      </c>
      <c r="D27">
        <v>5</v>
      </c>
      <c r="E27" s="4">
        <f t="shared" si="14"/>
        <v>24.800000000000011</v>
      </c>
      <c r="F27">
        <v>297.95</v>
      </c>
      <c r="G27">
        <v>5.9119999999999999</v>
      </c>
      <c r="H27" s="6">
        <v>8.9035137762001355</v>
      </c>
      <c r="I27" s="2">
        <f t="shared" si="2"/>
        <v>8.9033876469599047</v>
      </c>
      <c r="K27" s="6">
        <v>8.9035137762001355</v>
      </c>
      <c r="L27" s="2">
        <f t="shared" si="3"/>
        <v>1.2612924023081007E-4</v>
      </c>
      <c r="M27" s="21">
        <f t="shared" si="0"/>
        <v>8.9016628825875053</v>
      </c>
      <c r="N27" s="21">
        <f t="shared" si="4"/>
        <v>1.8508936126302444E-3</v>
      </c>
      <c r="O27" s="2">
        <f t="shared" si="5"/>
        <v>8.9018089556971844</v>
      </c>
      <c r="P27" s="2">
        <f t="shared" si="6"/>
        <v>1.7048205029510655E-3</v>
      </c>
      <c r="Q27" s="2">
        <f t="shared" si="7"/>
        <v>8.9020414367825023</v>
      </c>
      <c r="R27" s="2">
        <f t="shared" si="8"/>
        <v>1.4723394176332505E-3</v>
      </c>
      <c r="S27" s="2">
        <f t="shared" si="12"/>
        <v>8.902156021124064</v>
      </c>
      <c r="T27" s="2">
        <f t="shared" si="9"/>
        <v>1.3577550760714985E-3</v>
      </c>
      <c r="U27" s="21">
        <f t="shared" si="10"/>
        <v>8.9019996233592718</v>
      </c>
      <c r="V27" s="21">
        <f t="shared" si="11"/>
        <v>1.5141528408637583E-3</v>
      </c>
    </row>
    <row r="28" spans="1:22" x14ac:dyDescent="0.2">
      <c r="A28" s="8">
        <v>27</v>
      </c>
      <c r="B28">
        <v>30</v>
      </c>
      <c r="C28">
        <f t="shared" si="1"/>
        <v>303.14999999999998</v>
      </c>
      <c r="D28">
        <v>5</v>
      </c>
      <c r="E28" s="4">
        <f t="shared" si="14"/>
        <v>29.389999999999986</v>
      </c>
      <c r="F28">
        <v>302.53999999999996</v>
      </c>
      <c r="G28">
        <v>5.8970000000000002</v>
      </c>
      <c r="H28" s="2">
        <v>8.8553200332502069</v>
      </c>
      <c r="I28" s="2">
        <f t="shared" si="2"/>
        <v>8.8598019010739506</v>
      </c>
      <c r="K28" s="2">
        <v>8.8553200332502069</v>
      </c>
      <c r="L28" s="2">
        <f t="shared" si="3"/>
        <v>-4.4818678237437126E-3</v>
      </c>
      <c r="M28" s="21">
        <f t="shared" si="0"/>
        <v>8.8579896739660509</v>
      </c>
      <c r="N28" s="21">
        <f t="shared" si="4"/>
        <v>-2.6696407158439683E-3</v>
      </c>
      <c r="O28" s="2">
        <f t="shared" si="5"/>
        <v>8.8581831403538285</v>
      </c>
      <c r="P28" s="2">
        <f t="shared" si="6"/>
        <v>-2.8631071036215872E-3</v>
      </c>
      <c r="Q28" s="2">
        <f t="shared" si="7"/>
        <v>8.8583704516255359</v>
      </c>
      <c r="R28" s="2">
        <f t="shared" si="8"/>
        <v>-3.0504183753290448E-3</v>
      </c>
      <c r="S28" s="2">
        <f t="shared" si="12"/>
        <v>8.8587070026354677</v>
      </c>
      <c r="T28" s="2">
        <f t="shared" si="9"/>
        <v>-3.3869693852608407E-3</v>
      </c>
      <c r="U28" s="21">
        <f t="shared" si="10"/>
        <v>8.8583281649066929</v>
      </c>
      <c r="V28" s="21">
        <f t="shared" si="11"/>
        <v>-3.0081316564860572E-3</v>
      </c>
    </row>
    <row r="29" spans="1:22" x14ac:dyDescent="0.2">
      <c r="A29" s="8">
        <v>28</v>
      </c>
      <c r="B29">
        <v>35</v>
      </c>
      <c r="C29">
        <f t="shared" si="1"/>
        <v>308.14999999999998</v>
      </c>
      <c r="D29">
        <v>5</v>
      </c>
      <c r="E29" s="4">
        <f t="shared" si="14"/>
        <v>34.45999999999998</v>
      </c>
      <c r="F29">
        <v>307.60999999999996</v>
      </c>
      <c r="G29">
        <v>5.8970000000000002</v>
      </c>
      <c r="H29" s="6">
        <v>8.8097999999999992</v>
      </c>
      <c r="I29" s="2">
        <f t="shared" si="2"/>
        <v>8.8138090352412366</v>
      </c>
      <c r="K29" s="6">
        <v>8.8097999999999992</v>
      </c>
      <c r="L29" s="2">
        <f t="shared" si="3"/>
        <v>-4.0090352412374131E-3</v>
      </c>
      <c r="M29" s="21">
        <f t="shared" si="0"/>
        <v>8.8121527863743765</v>
      </c>
      <c r="N29" s="21">
        <f t="shared" si="4"/>
        <v>-2.3527863743773025E-3</v>
      </c>
      <c r="O29" s="2">
        <f t="shared" si="5"/>
        <v>8.8124589083977352</v>
      </c>
      <c r="P29" s="2">
        <f t="shared" si="6"/>
        <v>-2.6589083977359707E-3</v>
      </c>
      <c r="Q29" s="2">
        <f t="shared" si="7"/>
        <v>8.8125769504899232</v>
      </c>
      <c r="R29" s="2">
        <f t="shared" si="8"/>
        <v>-2.7769504899239905E-3</v>
      </c>
      <c r="S29" s="2">
        <f t="shared" si="12"/>
        <v>8.8129340360555641</v>
      </c>
      <c r="T29" s="2">
        <f t="shared" si="9"/>
        <v>-3.1340360555649482E-3</v>
      </c>
      <c r="U29" s="21">
        <f t="shared" si="10"/>
        <v>8.8122371288456964</v>
      </c>
      <c r="V29" s="21">
        <f t="shared" si="11"/>
        <v>-2.4371288456972451E-3</v>
      </c>
    </row>
    <row r="30" spans="1:22" x14ac:dyDescent="0.2">
      <c r="A30" s="17">
        <v>29</v>
      </c>
      <c r="B30">
        <v>2</v>
      </c>
      <c r="C30">
        <f t="shared" si="1"/>
        <v>275.14999999999998</v>
      </c>
      <c r="D30">
        <v>15</v>
      </c>
      <c r="E30" s="4">
        <f t="shared" si="14"/>
        <v>2.2699999999999818</v>
      </c>
      <c r="F30" s="3">
        <v>275.41999999999996</v>
      </c>
      <c r="G30">
        <v>14.657</v>
      </c>
      <c r="H30" s="6">
        <v>9.0316803419232201</v>
      </c>
      <c r="I30" s="2">
        <f t="shared" si="2"/>
        <v>9.0326803419232178</v>
      </c>
      <c r="K30" s="6">
        <v>9.0316803419232201</v>
      </c>
      <c r="L30" s="2">
        <f t="shared" si="3"/>
        <v>-9.9999999999766942E-4</v>
      </c>
      <c r="M30" s="21">
        <f t="shared" si="0"/>
        <v>9.0296408493701339</v>
      </c>
      <c r="N30" s="21">
        <f t="shared" si="4"/>
        <v>2.0394925530862196E-3</v>
      </c>
      <c r="O30" s="2">
        <f t="shared" si="5"/>
        <v>9.0304611348614348</v>
      </c>
      <c r="P30" s="2">
        <f t="shared" si="6"/>
        <v>1.2192070617853545E-3</v>
      </c>
      <c r="Q30" s="2">
        <f t="shared" si="7"/>
        <v>9.0307327209856147</v>
      </c>
      <c r="R30" s="2">
        <f t="shared" si="8"/>
        <v>9.4762093760536459E-4</v>
      </c>
      <c r="S30" s="2">
        <f t="shared" si="12"/>
        <v>9.031064679485171</v>
      </c>
      <c r="T30" s="2">
        <f t="shared" si="9"/>
        <v>6.156624380491138E-4</v>
      </c>
      <c r="U30" s="21">
        <f t="shared" si="10"/>
        <v>9.0303547891062461</v>
      </c>
      <c r="V30" s="21">
        <f t="shared" si="11"/>
        <v>1.3255528169739961E-3</v>
      </c>
    </row>
    <row r="31" spans="1:22" x14ac:dyDescent="0.2">
      <c r="A31" s="8">
        <v>30</v>
      </c>
      <c r="B31">
        <v>10</v>
      </c>
      <c r="C31">
        <f t="shared" si="1"/>
        <v>283.14999999999998</v>
      </c>
      <c r="D31">
        <v>15</v>
      </c>
      <c r="E31" s="4">
        <f t="shared" si="14"/>
        <v>10.329999999999984</v>
      </c>
      <c r="F31" s="3">
        <v>283.47999999999996</v>
      </c>
      <c r="G31">
        <v>14.657</v>
      </c>
      <c r="H31" s="6">
        <v>8.9275832146671412</v>
      </c>
      <c r="I31" s="2">
        <f t="shared" si="2"/>
        <v>8.9295881261091097</v>
      </c>
      <c r="K31" s="6">
        <v>8.9275832146671412</v>
      </c>
      <c r="L31" s="2">
        <f t="shared" si="3"/>
        <v>-2.0049114419684599E-3</v>
      </c>
      <c r="M31" s="21">
        <f t="shared" si="0"/>
        <v>8.927305718137676</v>
      </c>
      <c r="N31" s="21">
        <f t="shared" si="4"/>
        <v>2.7749652946518211E-4</v>
      </c>
      <c r="O31" s="2">
        <f t="shared" si="5"/>
        <v>8.9279112661876461</v>
      </c>
      <c r="P31" s="2">
        <f t="shared" si="6"/>
        <v>-3.2805152050485731E-4</v>
      </c>
      <c r="Q31" s="2">
        <f t="shared" si="7"/>
        <v>8.9283023256493941</v>
      </c>
      <c r="R31" s="2">
        <f t="shared" si="8"/>
        <v>-7.1911098225285741E-4</v>
      </c>
      <c r="S31" s="2">
        <f t="shared" si="12"/>
        <v>8.9274346481600766</v>
      </c>
      <c r="T31" s="2">
        <f t="shared" si="9"/>
        <v>1.4856650706462915E-4</v>
      </c>
      <c r="U31" s="21">
        <f t="shared" si="10"/>
        <v>8.9271434358209873</v>
      </c>
      <c r="V31" s="21">
        <f t="shared" si="11"/>
        <v>4.3977884615387097E-4</v>
      </c>
    </row>
    <row r="32" spans="1:22" x14ac:dyDescent="0.2">
      <c r="A32" s="8">
        <v>31</v>
      </c>
      <c r="B32">
        <v>15</v>
      </c>
      <c r="C32">
        <f t="shared" si="1"/>
        <v>288.14999999999998</v>
      </c>
      <c r="D32">
        <v>15</v>
      </c>
      <c r="E32" s="4">
        <f t="shared" si="14"/>
        <v>15.495000000000005</v>
      </c>
      <c r="F32" s="3">
        <v>288.64499999999998</v>
      </c>
      <c r="G32" s="1">
        <v>14.52</v>
      </c>
      <c r="H32" s="2">
        <v>8.8662283578174197</v>
      </c>
      <c r="I32" s="2">
        <f t="shared" si="2"/>
        <v>8.8697798853724983</v>
      </c>
      <c r="K32" s="2">
        <v>8.8662283578174197</v>
      </c>
      <c r="L32" s="2">
        <f t="shared" si="3"/>
        <v>-3.551527555078593E-3</v>
      </c>
      <c r="M32" s="21">
        <f t="shared" si="0"/>
        <v>8.8674601764666647</v>
      </c>
      <c r="N32" s="21">
        <f t="shared" si="4"/>
        <v>-1.2318186492450423E-3</v>
      </c>
      <c r="O32" s="2">
        <f t="shared" si="5"/>
        <v>8.8679018087052803</v>
      </c>
      <c r="P32" s="2">
        <f t="shared" si="6"/>
        <v>-1.6734508878606391E-3</v>
      </c>
      <c r="Q32" s="2">
        <f t="shared" si="7"/>
        <v>8.8683052494704704</v>
      </c>
      <c r="R32" s="2">
        <f t="shared" si="8"/>
        <v>-2.0768916530506942E-3</v>
      </c>
      <c r="S32" s="2">
        <f t="shared" si="12"/>
        <v>8.8676032601918049</v>
      </c>
      <c r="T32" s="2">
        <f t="shared" si="9"/>
        <v>-1.3749023743852007E-3</v>
      </c>
      <c r="U32" s="21">
        <f t="shared" si="10"/>
        <v>8.8674025842811091</v>
      </c>
      <c r="V32" s="21">
        <f t="shared" si="11"/>
        <v>-1.1742264636893651E-3</v>
      </c>
    </row>
    <row r="33" spans="1:22" x14ac:dyDescent="0.2">
      <c r="A33" s="17">
        <v>32</v>
      </c>
      <c r="B33">
        <v>20</v>
      </c>
      <c r="C33">
        <f t="shared" si="1"/>
        <v>293.14999999999998</v>
      </c>
      <c r="D33">
        <v>15</v>
      </c>
      <c r="E33" s="4">
        <f t="shared" si="14"/>
        <v>20.004999999999995</v>
      </c>
      <c r="F33" s="3">
        <v>293.15499999999997</v>
      </c>
      <c r="G33" s="1">
        <v>14.52</v>
      </c>
      <c r="H33" s="2">
        <v>8.8143630737493002</v>
      </c>
      <c r="I33" s="2">
        <f t="shared" si="2"/>
        <v>8.8187694292865633</v>
      </c>
      <c r="K33" s="2">
        <v>8.8143630737493002</v>
      </c>
      <c r="L33" s="2">
        <f t="shared" si="3"/>
        <v>-4.4063555372630958E-3</v>
      </c>
      <c r="M33" s="21">
        <f t="shared" si="0"/>
        <v>8.8163403745887265</v>
      </c>
      <c r="N33" s="21">
        <f t="shared" si="4"/>
        <v>-1.9773008394263769E-3</v>
      </c>
      <c r="O33" s="2">
        <f t="shared" si="5"/>
        <v>8.816618339015351</v>
      </c>
      <c r="P33" s="2">
        <f t="shared" si="6"/>
        <v>-2.2552652660507988E-3</v>
      </c>
      <c r="Q33" s="2">
        <f t="shared" si="7"/>
        <v>8.81699518017437</v>
      </c>
      <c r="R33" s="2">
        <f t="shared" si="8"/>
        <v>-2.6321064250698356E-3</v>
      </c>
      <c r="S33" s="2">
        <f t="shared" si="12"/>
        <v>8.8167232100165105</v>
      </c>
      <c r="T33" s="2">
        <f t="shared" si="9"/>
        <v>-2.3601362672103221E-3</v>
      </c>
      <c r="U33" s="21">
        <f t="shared" si="10"/>
        <v>8.8165376459483582</v>
      </c>
      <c r="V33" s="21">
        <f t="shared" si="11"/>
        <v>-2.1745721990580336E-3</v>
      </c>
    </row>
    <row r="34" spans="1:22" x14ac:dyDescent="0.2">
      <c r="A34" s="8">
        <v>33</v>
      </c>
      <c r="B34">
        <v>25</v>
      </c>
      <c r="C34">
        <f t="shared" si="1"/>
        <v>298.14999999999998</v>
      </c>
      <c r="D34">
        <v>15</v>
      </c>
      <c r="E34" s="4">
        <f t="shared" si="14"/>
        <v>24.824999999999989</v>
      </c>
      <c r="F34" s="3">
        <v>297.97499999999997</v>
      </c>
      <c r="G34">
        <v>15.743</v>
      </c>
      <c r="H34" s="6">
        <v>8.7530373140635582</v>
      </c>
      <c r="I34" s="2">
        <f t="shared" si="2"/>
        <v>8.7523860159298792</v>
      </c>
      <c r="K34" s="6">
        <v>8.7530373140635582</v>
      </c>
      <c r="L34" s="2">
        <f t="shared" si="3"/>
        <v>6.5129813367903466E-4</v>
      </c>
      <c r="M34" s="21">
        <f t="shared" si="0"/>
        <v>8.7500019399751832</v>
      </c>
      <c r="N34" s="21">
        <f t="shared" si="4"/>
        <v>3.0353740883750646E-3</v>
      </c>
      <c r="O34" s="2">
        <f t="shared" si="5"/>
        <v>8.7500455215847008</v>
      </c>
      <c r="P34" s="2">
        <f t="shared" si="6"/>
        <v>2.9917924788573913E-3</v>
      </c>
      <c r="Q34" s="2">
        <f t="shared" si="7"/>
        <v>8.7503566153090073</v>
      </c>
      <c r="R34" s="2">
        <f t="shared" si="8"/>
        <v>2.6806987545509031E-3</v>
      </c>
      <c r="S34" s="2">
        <f t="shared" si="12"/>
        <v>8.750631384467173</v>
      </c>
      <c r="T34" s="2">
        <f t="shared" si="9"/>
        <v>2.4059295963851923E-3</v>
      </c>
      <c r="U34" s="21">
        <f t="shared" si="10"/>
        <v>8.7504464204429731</v>
      </c>
      <c r="V34" s="21">
        <f t="shared" si="11"/>
        <v>2.5908936205851774E-3</v>
      </c>
    </row>
    <row r="35" spans="1:22" x14ac:dyDescent="0.2">
      <c r="A35" s="8">
        <v>34</v>
      </c>
      <c r="B35">
        <v>30</v>
      </c>
      <c r="C35">
        <f t="shared" si="1"/>
        <v>303.14999999999998</v>
      </c>
      <c r="D35">
        <v>15</v>
      </c>
      <c r="E35" s="4">
        <f t="shared" si="14"/>
        <v>29.775000000000034</v>
      </c>
      <c r="F35" s="3">
        <v>302.92500000000001</v>
      </c>
      <c r="G35">
        <v>15.743</v>
      </c>
      <c r="H35" s="2">
        <v>8.702070864505405</v>
      </c>
      <c r="I35" s="2">
        <f t="shared" si="2"/>
        <v>8.7003467511018382</v>
      </c>
      <c r="K35" s="2">
        <v>8.702070864505405</v>
      </c>
      <c r="L35" s="2">
        <f t="shared" si="3"/>
        <v>1.7241134035668182E-3</v>
      </c>
      <c r="M35" s="21">
        <f t="shared" si="0"/>
        <v>8.6982913432195055</v>
      </c>
      <c r="N35" s="21">
        <f t="shared" si="4"/>
        <v>3.7795212858995342E-3</v>
      </c>
      <c r="O35" s="2">
        <f t="shared" si="5"/>
        <v>8.698066147519631</v>
      </c>
      <c r="P35" s="2">
        <f t="shared" si="6"/>
        <v>4.0047169857739817E-3</v>
      </c>
      <c r="Q35" s="2">
        <f t="shared" si="7"/>
        <v>8.6982632253457641</v>
      </c>
      <c r="R35" s="2">
        <f t="shared" si="8"/>
        <v>3.8076391596408854E-3</v>
      </c>
      <c r="S35" s="2">
        <f t="shared" si="12"/>
        <v>8.6989610592780391</v>
      </c>
      <c r="T35" s="2">
        <f t="shared" si="9"/>
        <v>3.1098052273659249E-3</v>
      </c>
      <c r="U35" s="21">
        <f t="shared" si="10"/>
        <v>8.6988005881738921</v>
      </c>
      <c r="V35" s="21">
        <f t="shared" si="11"/>
        <v>3.2702763315128891E-3</v>
      </c>
    </row>
    <row r="36" spans="1:22" x14ac:dyDescent="0.2">
      <c r="A36" s="8">
        <v>35</v>
      </c>
      <c r="B36">
        <v>35</v>
      </c>
      <c r="C36">
        <f t="shared" si="1"/>
        <v>308.14999999999998</v>
      </c>
      <c r="D36">
        <v>15</v>
      </c>
      <c r="E36" s="4">
        <f t="shared" si="14"/>
        <v>34.740000000000009</v>
      </c>
      <c r="F36">
        <v>307.89</v>
      </c>
      <c r="G36" s="1">
        <v>14.52</v>
      </c>
      <c r="H36" s="2">
        <v>8.6611999999999991</v>
      </c>
      <c r="I36" s="2">
        <f t="shared" si="2"/>
        <v>8.6649630549463605</v>
      </c>
      <c r="K36" s="2">
        <v>8.6611999999999991</v>
      </c>
      <c r="L36" s="2">
        <f t="shared" si="3"/>
        <v>-3.7630549463614216E-3</v>
      </c>
      <c r="M36" s="21">
        <f t="shared" si="0"/>
        <v>8.6636223207633805</v>
      </c>
      <c r="N36" s="21">
        <f t="shared" si="4"/>
        <v>-2.422320763381336E-3</v>
      </c>
      <c r="O36" s="2">
        <f t="shared" si="5"/>
        <v>8.663195079771123</v>
      </c>
      <c r="P36" s="2">
        <f t="shared" si="6"/>
        <v>-1.9950797711238977E-3</v>
      </c>
      <c r="Q36" s="2">
        <f t="shared" si="7"/>
        <v>8.6632524579691914</v>
      </c>
      <c r="R36" s="2">
        <f t="shared" si="8"/>
        <v>-2.0524579691922895E-3</v>
      </c>
      <c r="S36" s="2">
        <f t="shared" si="12"/>
        <v>8.6639702586747767</v>
      </c>
      <c r="T36" s="2">
        <f t="shared" si="9"/>
        <v>-2.7702586747775371E-3</v>
      </c>
      <c r="U36" s="21">
        <f t="shared" si="10"/>
        <v>8.6638106775642694</v>
      </c>
      <c r="V36" s="21">
        <f t="shared" si="11"/>
        <v>-2.6106775642702473E-3</v>
      </c>
    </row>
    <row r="37" spans="1:22" x14ac:dyDescent="0.2">
      <c r="A37" s="8">
        <v>36</v>
      </c>
      <c r="B37">
        <v>2</v>
      </c>
      <c r="C37">
        <f t="shared" si="1"/>
        <v>275.14999999999998</v>
      </c>
      <c r="D37">
        <v>25</v>
      </c>
      <c r="E37" s="4">
        <f t="shared" si="14"/>
        <v>2.2300000000000182</v>
      </c>
      <c r="F37" s="3">
        <v>275.38</v>
      </c>
      <c r="G37" s="4">
        <v>24.65</v>
      </c>
      <c r="H37" s="2">
        <v>8.9433744863989997</v>
      </c>
      <c r="I37" s="2">
        <f t="shared" si="2"/>
        <v>8.9453376399448015</v>
      </c>
      <c r="K37" s="2">
        <v>8.9433744863989997</v>
      </c>
      <c r="L37" s="2">
        <f t="shared" si="3"/>
        <v>-1.9631535458017879E-3</v>
      </c>
      <c r="M37" s="21">
        <f t="shared" si="0"/>
        <v>8.9431628385082078</v>
      </c>
      <c r="N37" s="21">
        <f t="shared" si="4"/>
        <v>2.1164789079186619E-4</v>
      </c>
      <c r="O37" s="2">
        <f t="shared" si="5"/>
        <v>8.9436261960191246</v>
      </c>
      <c r="P37" s="2">
        <f t="shared" si="6"/>
        <v>-2.5170962012488474E-4</v>
      </c>
      <c r="Q37" s="2">
        <f t="shared" si="7"/>
        <v>8.9438700893850154</v>
      </c>
      <c r="R37" s="2">
        <f t="shared" si="8"/>
        <v>-4.9560298601569741E-4</v>
      </c>
      <c r="S37" s="2">
        <f t="shared" si="12"/>
        <v>8.9443827177406039</v>
      </c>
      <c r="T37" s="2">
        <f t="shared" si="9"/>
        <v>-1.0082313416042155E-3</v>
      </c>
      <c r="U37" s="21">
        <f t="shared" si="10"/>
        <v>8.9439454291584255</v>
      </c>
      <c r="V37" s="21">
        <f t="shared" si="11"/>
        <v>-5.7094275942581874E-4</v>
      </c>
    </row>
    <row r="38" spans="1:22" x14ac:dyDescent="0.2">
      <c r="A38" s="8">
        <v>37</v>
      </c>
      <c r="B38">
        <v>10</v>
      </c>
      <c r="C38">
        <f t="shared" si="1"/>
        <v>283.14999999999998</v>
      </c>
      <c r="D38">
        <v>25</v>
      </c>
      <c r="E38" s="4">
        <f t="shared" si="14"/>
        <v>10.435000000000002</v>
      </c>
      <c r="F38" s="3">
        <v>283.58499999999998</v>
      </c>
      <c r="G38" s="4">
        <v>24.65</v>
      </c>
      <c r="H38" s="2">
        <v>8.8398284531861879</v>
      </c>
      <c r="I38" s="2">
        <f t="shared" si="2"/>
        <v>8.8384056146227863</v>
      </c>
      <c r="K38" s="2">
        <v>8.8398284531861879</v>
      </c>
      <c r="L38" s="2">
        <f t="shared" si="3"/>
        <v>1.4228385634016405E-3</v>
      </c>
      <c r="M38" s="21">
        <f t="shared" si="0"/>
        <v>8.8374416846591615</v>
      </c>
      <c r="N38" s="21">
        <f t="shared" si="4"/>
        <v>2.3867685270264616E-3</v>
      </c>
      <c r="O38" s="2">
        <f t="shared" si="5"/>
        <v>8.8378947051407604</v>
      </c>
      <c r="P38" s="2">
        <f t="shared" si="6"/>
        <v>1.9337480454275635E-3</v>
      </c>
      <c r="Q38" s="2">
        <f t="shared" si="7"/>
        <v>8.83829843842177</v>
      </c>
      <c r="R38" s="2">
        <f t="shared" si="8"/>
        <v>1.5300147644179418E-3</v>
      </c>
      <c r="S38" s="2">
        <f t="shared" si="12"/>
        <v>8.8372040786039321</v>
      </c>
      <c r="T38" s="2">
        <f t="shared" si="9"/>
        <v>2.6243745822558395E-3</v>
      </c>
      <c r="U38" s="21">
        <f t="shared" si="10"/>
        <v>8.8369751738767537</v>
      </c>
      <c r="V38" s="21">
        <f t="shared" si="11"/>
        <v>2.8532793094342424E-3</v>
      </c>
    </row>
    <row r="39" spans="1:22" x14ac:dyDescent="0.2">
      <c r="A39" s="8">
        <v>38</v>
      </c>
      <c r="B39">
        <v>15</v>
      </c>
      <c r="C39">
        <f t="shared" si="1"/>
        <v>288.14999999999998</v>
      </c>
      <c r="D39">
        <v>25</v>
      </c>
      <c r="E39" s="4">
        <f t="shared" si="14"/>
        <v>15.430000000000007</v>
      </c>
      <c r="F39">
        <v>288.58</v>
      </c>
      <c r="G39" s="4">
        <v>24.65</v>
      </c>
      <c r="H39" s="2">
        <v>8.7743529206016078</v>
      </c>
      <c r="I39" s="2">
        <f t="shared" si="2"/>
        <v>8.7773596534028933</v>
      </c>
      <c r="K39" s="2">
        <v>8.7743529206016078</v>
      </c>
      <c r="L39" s="2">
        <f t="shared" si="3"/>
        <v>-3.0067328012854944E-3</v>
      </c>
      <c r="M39" s="21">
        <f t="shared" si="0"/>
        <v>8.7764326625337343</v>
      </c>
      <c r="N39" s="21">
        <f t="shared" si="4"/>
        <v>-2.0797419321265664E-3</v>
      </c>
      <c r="O39" s="2">
        <f t="shared" si="5"/>
        <v>8.7767279366894062</v>
      </c>
      <c r="P39" s="2">
        <f t="shared" si="6"/>
        <v>-2.3750160877984428E-3</v>
      </c>
      <c r="Q39" s="2">
        <f t="shared" si="7"/>
        <v>8.7771430032409068</v>
      </c>
      <c r="R39" s="2">
        <f t="shared" si="8"/>
        <v>-2.7900826392990297E-3</v>
      </c>
      <c r="S39" s="2">
        <f t="shared" si="12"/>
        <v>8.7762505271129587</v>
      </c>
      <c r="T39" s="2">
        <f t="shared" si="9"/>
        <v>-1.8976065113509577E-3</v>
      </c>
      <c r="U39" s="21">
        <f t="shared" si="10"/>
        <v>8.7760676617570699</v>
      </c>
      <c r="V39" s="21">
        <f t="shared" si="11"/>
        <v>-1.7147411554621073E-3</v>
      </c>
    </row>
    <row r="40" spans="1:22" x14ac:dyDescent="0.2">
      <c r="A40" s="8">
        <v>39</v>
      </c>
      <c r="B40">
        <v>20</v>
      </c>
      <c r="C40">
        <f t="shared" si="1"/>
        <v>293.14999999999998</v>
      </c>
      <c r="D40">
        <v>25</v>
      </c>
      <c r="E40" s="4">
        <f t="shared" si="14"/>
        <v>20.154999999999973</v>
      </c>
      <c r="F40" s="3">
        <v>293.30499999999995</v>
      </c>
      <c r="G40" s="4">
        <v>24.65</v>
      </c>
      <c r="H40" s="2">
        <v>8.7233808234485117</v>
      </c>
      <c r="I40" s="2">
        <f t="shared" si="2"/>
        <v>8.7218757519183505</v>
      </c>
      <c r="K40" s="2">
        <v>8.7233808234485117</v>
      </c>
      <c r="L40" s="2">
        <f t="shared" si="3"/>
        <v>1.5050715301612172E-3</v>
      </c>
      <c r="M40" s="21">
        <f t="shared" si="0"/>
        <v>8.7208534324742821</v>
      </c>
      <c r="N40" s="21">
        <f t="shared" si="4"/>
        <v>2.5273909742296041E-3</v>
      </c>
      <c r="O40" s="2">
        <f t="shared" si="5"/>
        <v>8.7208938081938037</v>
      </c>
      <c r="P40" s="2">
        <f t="shared" si="6"/>
        <v>2.4870152547080693E-3</v>
      </c>
      <c r="Q40" s="2">
        <f t="shared" si="7"/>
        <v>8.7212627916897301</v>
      </c>
      <c r="R40" s="2">
        <f t="shared" si="8"/>
        <v>2.1180317587816688E-3</v>
      </c>
      <c r="S40" s="2">
        <f t="shared" si="12"/>
        <v>8.7209618752460152</v>
      </c>
      <c r="T40" s="2">
        <f t="shared" si="9"/>
        <v>2.4189482024965514E-3</v>
      </c>
      <c r="U40" s="21">
        <f t="shared" si="10"/>
        <v>8.7208295921155532</v>
      </c>
      <c r="V40" s="21">
        <f t="shared" si="11"/>
        <v>2.5512313329585368E-3</v>
      </c>
    </row>
    <row r="41" spans="1:22" x14ac:dyDescent="0.2">
      <c r="A41" s="8">
        <v>40</v>
      </c>
      <c r="B41">
        <v>25</v>
      </c>
      <c r="C41">
        <f t="shared" si="1"/>
        <v>298.14999999999998</v>
      </c>
      <c r="D41">
        <v>25</v>
      </c>
      <c r="E41" s="4">
        <f t="shared" si="14"/>
        <v>25.200000000000045</v>
      </c>
      <c r="F41">
        <v>298.35000000000002</v>
      </c>
      <c r="G41" s="4">
        <v>24.65</v>
      </c>
      <c r="H41" s="2">
        <v>8.6677184646426415</v>
      </c>
      <c r="I41" s="2">
        <f t="shared" si="2"/>
        <v>8.6646184646426416</v>
      </c>
      <c r="K41" s="2">
        <v>8.6677184646426415</v>
      </c>
      <c r="L41" s="2">
        <f t="shared" si="3"/>
        <v>3.0999999999998806E-3</v>
      </c>
      <c r="M41" s="21">
        <f t="shared" si="0"/>
        <v>8.6636350693965127</v>
      </c>
      <c r="N41" s="21">
        <f t="shared" si="4"/>
        <v>4.0833952461287737E-3</v>
      </c>
      <c r="O41" s="2">
        <f t="shared" si="5"/>
        <v>8.6632899441371727</v>
      </c>
      <c r="P41" s="2">
        <f t="shared" si="6"/>
        <v>4.4285205054688248E-3</v>
      </c>
      <c r="Q41" s="2">
        <f t="shared" si="7"/>
        <v>8.6635512952351679</v>
      </c>
      <c r="R41" s="2">
        <f t="shared" si="8"/>
        <v>4.1671694074736365E-3</v>
      </c>
      <c r="S41" s="2">
        <f t="shared" si="12"/>
        <v>8.6639823851144957</v>
      </c>
      <c r="T41" s="2">
        <f t="shared" si="9"/>
        <v>3.7360795281458081E-3</v>
      </c>
      <c r="U41" s="21">
        <f t="shared" si="10"/>
        <v>8.663961046017322</v>
      </c>
      <c r="V41" s="21">
        <f t="shared" si="11"/>
        <v>3.7574186253195307E-3</v>
      </c>
    </row>
    <row r="42" spans="1:22" x14ac:dyDescent="0.2">
      <c r="A42" s="8">
        <v>41</v>
      </c>
      <c r="B42">
        <v>30</v>
      </c>
      <c r="C42">
        <f t="shared" si="1"/>
        <v>303.14999999999998</v>
      </c>
      <c r="D42">
        <v>25</v>
      </c>
      <c r="E42" s="4">
        <f t="shared" si="14"/>
        <v>28.810000000000002</v>
      </c>
      <c r="F42">
        <v>301.95999999999998</v>
      </c>
      <c r="G42" s="4">
        <v>24.65</v>
      </c>
      <c r="H42" s="2">
        <v>8.6204332917705724</v>
      </c>
      <c r="I42" s="2">
        <f t="shared" si="2"/>
        <v>8.6246715781785408</v>
      </c>
      <c r="K42" s="2">
        <v>8.6204332917705724</v>
      </c>
      <c r="L42" s="2">
        <f t="shared" si="3"/>
        <v>-4.2382864079684168E-3</v>
      </c>
      <c r="M42" s="21">
        <f t="shared" si="0"/>
        <v>8.6239517688888832</v>
      </c>
      <c r="N42" s="21">
        <f t="shared" si="4"/>
        <v>-3.5184771183107699E-3</v>
      </c>
      <c r="O42" s="2">
        <f t="shared" si="5"/>
        <v>8.6232590874742492</v>
      </c>
      <c r="P42" s="2">
        <f t="shared" si="6"/>
        <v>-2.8257957036768033E-3</v>
      </c>
      <c r="Q42" s="2">
        <f t="shared" si="7"/>
        <v>8.6234077592731051</v>
      </c>
      <c r="R42" s="2">
        <f t="shared" si="8"/>
        <v>-2.9744675025327183E-3</v>
      </c>
      <c r="S42" s="2">
        <f t="shared" si="12"/>
        <v>8.6242546416438159</v>
      </c>
      <c r="T42" s="2">
        <f t="shared" si="9"/>
        <v>-3.8213498732435625E-3</v>
      </c>
      <c r="U42" s="21">
        <f t="shared" si="10"/>
        <v>8.6243744499151997</v>
      </c>
      <c r="V42" s="21">
        <f t="shared" si="11"/>
        <v>-3.9411581446273658E-3</v>
      </c>
    </row>
    <row r="43" spans="1:22" x14ac:dyDescent="0.2">
      <c r="A43" s="17">
        <v>42</v>
      </c>
      <c r="B43">
        <v>35</v>
      </c>
      <c r="C43">
        <f t="shared" si="1"/>
        <v>308.14999999999998</v>
      </c>
      <c r="D43">
        <v>25</v>
      </c>
      <c r="E43" s="4">
        <f t="shared" si="14"/>
        <v>33.829999999999984</v>
      </c>
      <c r="F43">
        <v>306.97999999999996</v>
      </c>
      <c r="G43" s="4">
        <v>24.65</v>
      </c>
      <c r="H43" s="2">
        <v>8.5684872015047997</v>
      </c>
      <c r="I43" s="2">
        <f t="shared" si="2"/>
        <v>8.5702384434563346</v>
      </c>
      <c r="K43" s="2">
        <v>8.5684872015047997</v>
      </c>
      <c r="L43" s="2">
        <f t="shared" si="3"/>
        <v>-1.7512419515348654E-3</v>
      </c>
      <c r="M43" s="21">
        <f t="shared" si="0"/>
        <v>8.5704008665910756</v>
      </c>
      <c r="N43" s="21">
        <f t="shared" si="4"/>
        <v>-1.9136650862758842E-3</v>
      </c>
      <c r="O43" s="2">
        <f t="shared" si="5"/>
        <v>8.5691257670593419</v>
      </c>
      <c r="P43" s="2">
        <f t="shared" si="6"/>
        <v>-6.385655545422253E-4</v>
      </c>
      <c r="Q43" s="2">
        <f t="shared" si="7"/>
        <v>8.5690701455396621</v>
      </c>
      <c r="R43" s="2">
        <f t="shared" si="8"/>
        <v>-5.829440348623649E-4</v>
      </c>
      <c r="S43" s="2">
        <f t="shared" si="12"/>
        <v>8.5701249588991288</v>
      </c>
      <c r="T43" s="2">
        <f t="shared" si="9"/>
        <v>-1.6377573943291424E-3</v>
      </c>
      <c r="U43" s="21">
        <f t="shared" si="10"/>
        <v>8.5705595801541055</v>
      </c>
      <c r="V43" s="21">
        <f t="shared" si="11"/>
        <v>-2.0723786493057617E-3</v>
      </c>
    </row>
    <row r="44" spans="1:22" x14ac:dyDescent="0.2">
      <c r="A44" s="8">
        <v>43</v>
      </c>
      <c r="B44">
        <v>2</v>
      </c>
      <c r="C44">
        <f t="shared" si="1"/>
        <v>275.14999999999998</v>
      </c>
      <c r="D44">
        <v>35</v>
      </c>
      <c r="E44" s="4">
        <f t="shared" si="14"/>
        <v>2.3450000000000273</v>
      </c>
      <c r="F44" s="3">
        <v>275.495</v>
      </c>
      <c r="G44" s="4">
        <v>35.795000000000002</v>
      </c>
      <c r="H44" s="2">
        <v>8.8763578473235789</v>
      </c>
      <c r="I44" s="2">
        <f t="shared" si="2"/>
        <v>8.8763578473235789</v>
      </c>
      <c r="K44" s="2">
        <v>8.8763578473235789</v>
      </c>
      <c r="L44" s="2">
        <f t="shared" si="3"/>
        <v>0</v>
      </c>
      <c r="M44" s="21">
        <f t="shared" si="0"/>
        <v>8.8759060211952274</v>
      </c>
      <c r="N44" s="21">
        <f t="shared" si="4"/>
        <v>4.5182612835148461E-4</v>
      </c>
      <c r="O44" s="2">
        <f t="shared" si="5"/>
        <v>8.8758102483148349</v>
      </c>
      <c r="P44" s="2">
        <f t="shared" si="6"/>
        <v>5.4759900874401524E-4</v>
      </c>
      <c r="Q44" s="2">
        <f t="shared" si="7"/>
        <v>8.875956785153619</v>
      </c>
      <c r="R44" s="2">
        <f t="shared" si="8"/>
        <v>4.0106216995994259E-4</v>
      </c>
      <c r="S44" s="2">
        <f t="shared" si="12"/>
        <v>8.8765620881234302</v>
      </c>
      <c r="T44" s="2">
        <f t="shared" si="9"/>
        <v>-2.0424079985126298E-4</v>
      </c>
      <c r="U44" s="21">
        <f t="shared" si="10"/>
        <v>8.8765166828391404</v>
      </c>
      <c r="V44" s="21">
        <f t="shared" si="11"/>
        <v>-1.5883551556150621E-4</v>
      </c>
    </row>
    <row r="45" spans="1:22" x14ac:dyDescent="0.2">
      <c r="A45" s="8">
        <v>44</v>
      </c>
      <c r="B45">
        <v>10</v>
      </c>
      <c r="C45">
        <f t="shared" si="1"/>
        <v>283.14999999999998</v>
      </c>
      <c r="D45">
        <v>35</v>
      </c>
      <c r="E45" s="4">
        <v>10.49</v>
      </c>
      <c r="F45">
        <f>E45+273.15</f>
        <v>283.64</v>
      </c>
      <c r="G45">
        <v>35.723999999999997</v>
      </c>
      <c r="H45" s="2">
        <v>8.7697320279751008</v>
      </c>
      <c r="I45" s="2">
        <f t="shared" si="2"/>
        <v>8.7690732027975073</v>
      </c>
      <c r="K45" s="2">
        <v>8.7697320279751008</v>
      </c>
      <c r="L45" s="2">
        <f t="shared" si="3"/>
        <v>6.5882517759341397E-4</v>
      </c>
      <c r="M45" s="21">
        <f t="shared" si="0"/>
        <v>8.7703085890265662</v>
      </c>
      <c r="N45" s="21">
        <f t="shared" si="4"/>
        <v>-5.7656105146541847E-4</v>
      </c>
      <c r="O45" s="2">
        <f t="shared" si="5"/>
        <v>8.7703775804952837</v>
      </c>
      <c r="P45" s="2">
        <f t="shared" si="6"/>
        <v>-6.4555252018294595E-4</v>
      </c>
      <c r="Q45" s="2">
        <f t="shared" si="7"/>
        <v>8.7707130284836428</v>
      </c>
      <c r="R45" s="2">
        <f t="shared" si="8"/>
        <v>-9.8100050854199594E-4</v>
      </c>
      <c r="S45" s="2">
        <f t="shared" si="12"/>
        <v>8.7694144116145267</v>
      </c>
      <c r="T45" s="2">
        <f t="shared" si="9"/>
        <v>3.1761636057403564E-4</v>
      </c>
      <c r="U45" s="21">
        <f t="shared" si="10"/>
        <v>8.7693849715708776</v>
      </c>
      <c r="V45" s="21">
        <f t="shared" si="11"/>
        <v>3.4705640422316719E-4</v>
      </c>
    </row>
    <row r="46" spans="1:22" x14ac:dyDescent="0.2">
      <c r="A46" s="8">
        <v>45</v>
      </c>
      <c r="B46">
        <v>15</v>
      </c>
      <c r="C46">
        <f t="shared" si="1"/>
        <v>288.14999999999998</v>
      </c>
      <c r="D46">
        <v>35</v>
      </c>
      <c r="E46" s="4">
        <f>F46-273.15</f>
        <v>14.810000000000002</v>
      </c>
      <c r="F46">
        <v>287.95999999999998</v>
      </c>
      <c r="G46">
        <v>36.853999999999999</v>
      </c>
      <c r="H46" s="2">
        <v>8.7066172612801669</v>
      </c>
      <c r="I46" s="2">
        <f t="shared" si="2"/>
        <v>8.7092351845265483</v>
      </c>
      <c r="K46" s="2">
        <v>8.7066172612801669</v>
      </c>
      <c r="L46" s="2">
        <f t="shared" si="3"/>
        <v>-2.6179232463814373E-3</v>
      </c>
      <c r="M46" s="21">
        <f t="shared" si="0"/>
        <v>8.7106904858188532</v>
      </c>
      <c r="N46" s="21">
        <f t="shared" si="4"/>
        <v>-4.0732245386863042E-3</v>
      </c>
      <c r="O46" s="2">
        <f t="shared" si="5"/>
        <v>8.7105814631135114</v>
      </c>
      <c r="P46" s="2">
        <f t="shared" si="6"/>
        <v>-3.9642018333445606E-3</v>
      </c>
      <c r="Q46" s="2">
        <f t="shared" si="7"/>
        <v>8.710917782196427</v>
      </c>
      <c r="R46" s="2">
        <f t="shared" si="8"/>
        <v>-4.3005209162600977E-3</v>
      </c>
      <c r="S46" s="2">
        <f t="shared" si="12"/>
        <v>8.7097764632539167</v>
      </c>
      <c r="T46" s="2">
        <f t="shared" si="9"/>
        <v>-3.1592019737498589E-3</v>
      </c>
      <c r="U46" s="21">
        <f t="shared" si="10"/>
        <v>8.7097782883393897</v>
      </c>
      <c r="V46" s="21">
        <f t="shared" si="11"/>
        <v>-3.1610270592228318E-3</v>
      </c>
    </row>
    <row r="47" spans="1:22" x14ac:dyDescent="0.2">
      <c r="A47" s="8">
        <v>46</v>
      </c>
      <c r="B47">
        <v>20</v>
      </c>
      <c r="C47">
        <f t="shared" si="1"/>
        <v>293.14999999999998</v>
      </c>
      <c r="D47">
        <v>35</v>
      </c>
      <c r="E47" s="4">
        <f>F47-273.15</f>
        <v>19.980000000000018</v>
      </c>
      <c r="F47">
        <v>293.13</v>
      </c>
      <c r="G47">
        <v>35.570999999999998</v>
      </c>
      <c r="H47" s="2">
        <v>8.6511679130135803</v>
      </c>
      <c r="I47" s="2">
        <f t="shared" si="2"/>
        <v>8.653285909385291</v>
      </c>
      <c r="K47" s="2">
        <v>8.6511679130135803</v>
      </c>
      <c r="L47" s="2">
        <f t="shared" si="3"/>
        <v>-2.1179963717106176E-3</v>
      </c>
      <c r="M47" s="21">
        <f t="shared" si="0"/>
        <v>8.6544490321918488</v>
      </c>
      <c r="N47" s="21">
        <f t="shared" si="4"/>
        <v>-3.2811191782684546E-3</v>
      </c>
      <c r="O47" s="2">
        <f t="shared" si="5"/>
        <v>8.6540475185085501</v>
      </c>
      <c r="P47" s="2">
        <f t="shared" si="6"/>
        <v>-2.8796054949697947E-3</v>
      </c>
      <c r="Q47" s="2">
        <f t="shared" si="7"/>
        <v>8.6543330431542174</v>
      </c>
      <c r="R47" s="2">
        <f t="shared" si="8"/>
        <v>-3.165130140637018E-3</v>
      </c>
      <c r="S47" s="2">
        <f t="shared" si="12"/>
        <v>8.653959536023148</v>
      </c>
      <c r="T47" s="2">
        <f t="shared" si="9"/>
        <v>-2.7916230095677008E-3</v>
      </c>
      <c r="U47" s="21">
        <f t="shared" si="10"/>
        <v>8.6540188748681039</v>
      </c>
      <c r="V47" s="21">
        <f t="shared" si="11"/>
        <v>-2.8509618545236037E-3</v>
      </c>
    </row>
    <row r="48" spans="1:22" x14ac:dyDescent="0.2">
      <c r="A48" s="8">
        <v>47</v>
      </c>
      <c r="B48">
        <v>25</v>
      </c>
      <c r="C48">
        <f t="shared" si="1"/>
        <v>298.14999999999998</v>
      </c>
      <c r="D48">
        <v>35</v>
      </c>
      <c r="E48" s="4">
        <f>F48-273.15</f>
        <v>24.529999999999973</v>
      </c>
      <c r="F48">
        <v>297.67999999999995</v>
      </c>
      <c r="G48">
        <v>35.564</v>
      </c>
      <c r="H48" s="2">
        <v>8.6022861730899294</v>
      </c>
      <c r="I48" s="2">
        <f t="shared" si="2"/>
        <v>8.5997844985846044</v>
      </c>
      <c r="K48" s="2">
        <v>8.6022861730899294</v>
      </c>
      <c r="L48" s="2">
        <f t="shared" si="3"/>
        <v>2.5016745053250133E-3</v>
      </c>
      <c r="M48" s="21">
        <f t="shared" si="0"/>
        <v>8.600869100934446</v>
      </c>
      <c r="N48" s="21">
        <f t="shared" si="4"/>
        <v>1.4170721554833676E-3</v>
      </c>
      <c r="O48" s="2">
        <f t="shared" si="5"/>
        <v>8.5999940997555875</v>
      </c>
      <c r="P48" s="2">
        <f t="shared" si="6"/>
        <v>2.2920733343418931E-3</v>
      </c>
      <c r="Q48" s="2">
        <f t="shared" si="7"/>
        <v>8.6001586982414082</v>
      </c>
      <c r="R48" s="2">
        <f t="shared" si="8"/>
        <v>2.1274748485211603E-3</v>
      </c>
      <c r="S48" s="2">
        <f t="shared" si="12"/>
        <v>8.600591609174117</v>
      </c>
      <c r="T48" s="2">
        <f t="shared" si="9"/>
        <v>1.6945639158123527E-3</v>
      </c>
      <c r="U48" s="21">
        <f t="shared" si="10"/>
        <v>8.6008366301336263</v>
      </c>
      <c r="V48" s="21">
        <f t="shared" si="11"/>
        <v>1.4495429563030626E-3</v>
      </c>
    </row>
    <row r="49" spans="1:22" x14ac:dyDescent="0.2">
      <c r="A49" s="8">
        <v>48</v>
      </c>
      <c r="B49">
        <v>30</v>
      </c>
      <c r="C49">
        <f t="shared" si="1"/>
        <v>303.14999999999998</v>
      </c>
      <c r="D49">
        <v>35</v>
      </c>
      <c r="E49" s="4">
        <f>F49-273.15</f>
        <v>30</v>
      </c>
      <c r="F49">
        <v>303.14999999999998</v>
      </c>
      <c r="G49">
        <v>35.723999999999997</v>
      </c>
      <c r="H49" s="2">
        <v>8.5391832917705734</v>
      </c>
      <c r="I49" s="2">
        <f t="shared" si="2"/>
        <v>8.53585731788427</v>
      </c>
      <c r="K49" s="2">
        <v>8.5391832917705734</v>
      </c>
      <c r="L49" s="2">
        <f t="shared" si="3"/>
        <v>3.3259738863034016E-3</v>
      </c>
      <c r="M49" s="21">
        <f t="shared" si="0"/>
        <v>8.5372886397051477</v>
      </c>
      <c r="N49" s="21">
        <f t="shared" si="4"/>
        <v>1.8946520654257171E-3</v>
      </c>
      <c r="O49" s="2">
        <f t="shared" si="5"/>
        <v>8.5356261863460361</v>
      </c>
      <c r="P49" s="2">
        <f t="shared" si="6"/>
        <v>3.5571054245373546E-3</v>
      </c>
      <c r="Q49" s="2">
        <f t="shared" si="7"/>
        <v>8.5355644244792632</v>
      </c>
      <c r="R49" s="2">
        <f t="shared" si="8"/>
        <v>3.6188672913102238E-3</v>
      </c>
      <c r="S49" s="2">
        <f t="shared" si="12"/>
        <v>8.5367406416335108</v>
      </c>
      <c r="T49" s="2">
        <f t="shared" si="9"/>
        <v>2.4426501370626852E-3</v>
      </c>
      <c r="U49" s="21">
        <f t="shared" si="10"/>
        <v>8.5374129593900463</v>
      </c>
      <c r="V49" s="21">
        <f t="shared" si="11"/>
        <v>1.7703323805271509E-3</v>
      </c>
    </row>
    <row r="50" spans="1:22" x14ac:dyDescent="0.2">
      <c r="A50" s="8">
        <v>49</v>
      </c>
      <c r="B50">
        <v>35</v>
      </c>
      <c r="C50">
        <f t="shared" si="1"/>
        <v>308.14999999999998</v>
      </c>
      <c r="D50">
        <v>35</v>
      </c>
      <c r="E50" s="4">
        <f>F50-273.15</f>
        <v>34.074999999999989</v>
      </c>
      <c r="F50" s="3">
        <v>307.22499999999997</v>
      </c>
      <c r="G50">
        <v>35.723999999999997</v>
      </c>
      <c r="H50" s="2">
        <v>8.4930603123977768</v>
      </c>
      <c r="I50" s="2">
        <f t="shared" si="2"/>
        <v>8.4895366777497809</v>
      </c>
      <c r="K50" s="2">
        <v>8.4930603123977768</v>
      </c>
      <c r="L50" s="2">
        <f t="shared" si="3"/>
        <v>3.5236346479958769E-3</v>
      </c>
      <c r="M50" s="21">
        <f t="shared" si="0"/>
        <v>8.491728172718755</v>
      </c>
      <c r="N50" s="21">
        <f t="shared" si="4"/>
        <v>1.3321396790217932E-3</v>
      </c>
      <c r="O50" s="2">
        <f t="shared" si="5"/>
        <v>8.4893427325042197</v>
      </c>
      <c r="P50" s="2">
        <f t="shared" si="6"/>
        <v>3.7175798935571436E-3</v>
      </c>
      <c r="Q50" s="2">
        <f t="shared" si="7"/>
        <v>8.489060459662241</v>
      </c>
      <c r="R50" s="2">
        <f t="shared" si="8"/>
        <v>3.9998527355358249E-3</v>
      </c>
      <c r="S50" s="2">
        <f t="shared" si="12"/>
        <v>8.4903813293884038</v>
      </c>
      <c r="T50" s="2">
        <f t="shared" si="9"/>
        <v>2.6789830093729705E-3</v>
      </c>
      <c r="U50" s="21">
        <f t="shared" si="10"/>
        <v>8.491542231055961</v>
      </c>
      <c r="V50" s="21">
        <f t="shared" si="11"/>
        <v>1.5180813418158579E-3</v>
      </c>
    </row>
    <row r="51" spans="1:22" x14ac:dyDescent="0.2">
      <c r="A51" s="8">
        <v>50</v>
      </c>
      <c r="B51">
        <v>2</v>
      </c>
      <c r="C51">
        <f t="shared" si="1"/>
        <v>275.14999999999998</v>
      </c>
      <c r="D51">
        <v>45</v>
      </c>
      <c r="E51" s="4">
        <v>2</v>
      </c>
      <c r="F51" s="3">
        <v>275.14999999999998</v>
      </c>
      <c r="G51">
        <v>45.658000000000001</v>
      </c>
      <c r="H51" s="2">
        <v>8.8384531861899998</v>
      </c>
      <c r="I51" s="2">
        <f t="shared" si="2"/>
        <v>8.839723565915655</v>
      </c>
      <c r="K51" s="2">
        <v>8.8384531861899998</v>
      </c>
      <c r="L51" s="2">
        <f t="shared" si="3"/>
        <v>-1.2703797256552463E-3</v>
      </c>
      <c r="M51" s="21">
        <f t="shared" si="0"/>
        <v>8.838082886440441</v>
      </c>
      <c r="N51" s="21">
        <f t="shared" si="4"/>
        <v>3.7029974955871126E-4</v>
      </c>
      <c r="O51" s="2">
        <f t="shared" si="5"/>
        <v>8.8373737165416024</v>
      </c>
      <c r="P51" s="2">
        <f t="shared" si="6"/>
        <v>1.0794696483973354E-3</v>
      </c>
      <c r="Q51" s="2">
        <f t="shared" si="7"/>
        <v>8.8373783312297043</v>
      </c>
      <c r="R51" s="2">
        <f t="shared" si="8"/>
        <v>1.0748549602954682E-3</v>
      </c>
      <c r="S51" s="2">
        <f t="shared" si="12"/>
        <v>8.8382801505082824</v>
      </c>
      <c r="T51" s="2">
        <f t="shared" si="9"/>
        <v>1.730356817173373E-4</v>
      </c>
      <c r="U51" s="21">
        <f t="shared" si="10"/>
        <v>8.8386255923063679</v>
      </c>
      <c r="V51" s="21">
        <f t="shared" si="11"/>
        <v>-1.7240611636815117E-4</v>
      </c>
    </row>
    <row r="52" spans="1:22" x14ac:dyDescent="0.2">
      <c r="A52" s="8">
        <v>51</v>
      </c>
      <c r="B52">
        <v>10</v>
      </c>
      <c r="C52">
        <f t="shared" si="1"/>
        <v>283.14999999999998</v>
      </c>
      <c r="D52">
        <v>45</v>
      </c>
      <c r="E52" s="4">
        <f t="shared" ref="E52:E57" si="15">F52-273.15</f>
        <v>10.509999999999991</v>
      </c>
      <c r="F52">
        <v>283.65999999999997</v>
      </c>
      <c r="G52">
        <v>45.658000000000001</v>
      </c>
      <c r="H52" s="6">
        <v>8.7259645336418661</v>
      </c>
      <c r="I52" s="2">
        <f t="shared" si="2"/>
        <v>8.7258638920580491</v>
      </c>
      <c r="K52" s="6">
        <v>8.7259645336418661</v>
      </c>
      <c r="L52" s="2">
        <f t="shared" si="3"/>
        <v>1.0064158381695165E-4</v>
      </c>
      <c r="M52" s="21">
        <f t="shared" si="0"/>
        <v>8.7266435565338991</v>
      </c>
      <c r="N52" s="21">
        <f t="shared" si="4"/>
        <v>-6.7902289203303212E-4</v>
      </c>
      <c r="O52" s="2">
        <f t="shared" si="5"/>
        <v>8.7262526781058831</v>
      </c>
      <c r="P52" s="2">
        <f t="shared" si="6"/>
        <v>-2.8814446401703719E-4</v>
      </c>
      <c r="Q52" s="2">
        <f t="shared" si="7"/>
        <v>8.7264828727396768</v>
      </c>
      <c r="R52" s="2">
        <f t="shared" si="8"/>
        <v>-5.1833909781073828E-4</v>
      </c>
      <c r="S52" s="2">
        <f t="shared" si="12"/>
        <v>8.7250243998734636</v>
      </c>
      <c r="T52" s="2">
        <f t="shared" si="9"/>
        <v>9.4013376840251794E-4</v>
      </c>
      <c r="U52" s="21">
        <f t="shared" si="10"/>
        <v>8.7252442588765895</v>
      </c>
      <c r="V52" s="21">
        <f t="shared" si="11"/>
        <v>7.2027476527658507E-4</v>
      </c>
    </row>
    <row r="53" spans="1:22" x14ac:dyDescent="0.2">
      <c r="A53" s="8">
        <v>52</v>
      </c>
      <c r="B53">
        <v>15</v>
      </c>
      <c r="C53">
        <f t="shared" si="1"/>
        <v>288.14999999999998</v>
      </c>
      <c r="D53">
        <v>45</v>
      </c>
      <c r="E53" s="4">
        <f t="shared" si="15"/>
        <v>15.310000000000002</v>
      </c>
      <c r="F53">
        <v>288.45999999999998</v>
      </c>
      <c r="G53">
        <v>45.865000000000002</v>
      </c>
      <c r="H53" s="2">
        <v>8.6652015770473199</v>
      </c>
      <c r="I53" s="2">
        <f t="shared" si="2"/>
        <v>8.6642934036593307</v>
      </c>
      <c r="K53" s="2">
        <v>8.6652015770473199</v>
      </c>
      <c r="L53" s="2">
        <f t="shared" si="3"/>
        <v>9.0817338798920844E-4</v>
      </c>
      <c r="M53" s="21">
        <f t="shared" si="0"/>
        <v>8.6651886445204003</v>
      </c>
      <c r="N53" s="21">
        <f t="shared" si="4"/>
        <v>1.2932526919584575E-5</v>
      </c>
      <c r="O53" s="2">
        <f t="shared" si="5"/>
        <v>8.6646271338198506</v>
      </c>
      <c r="P53" s="2">
        <f t="shared" si="6"/>
        <v>5.744432274692457E-4</v>
      </c>
      <c r="Q53" s="2">
        <f t="shared" si="7"/>
        <v>8.6648605071488038</v>
      </c>
      <c r="R53" s="2">
        <f t="shared" si="8"/>
        <v>3.4106989851601099E-4</v>
      </c>
      <c r="S53" s="2">
        <f t="shared" si="12"/>
        <v>8.6636542638119334</v>
      </c>
      <c r="T53" s="2">
        <f t="shared" si="9"/>
        <v>1.5473132353864827E-3</v>
      </c>
      <c r="U53" s="21">
        <f t="shared" si="10"/>
        <v>8.6638687976989832</v>
      </c>
      <c r="V53" s="21">
        <f t="shared" si="11"/>
        <v>1.3327793483366435E-3</v>
      </c>
    </row>
    <row r="54" spans="1:22" x14ac:dyDescent="0.2">
      <c r="A54" s="17">
        <v>53</v>
      </c>
      <c r="B54">
        <v>20</v>
      </c>
      <c r="C54">
        <f t="shared" si="1"/>
        <v>293.14999999999998</v>
      </c>
      <c r="D54">
        <v>45</v>
      </c>
      <c r="E54" s="4">
        <f t="shared" si="15"/>
        <v>20.230000000000018</v>
      </c>
      <c r="F54">
        <v>293.38</v>
      </c>
      <c r="G54">
        <v>45.865000000000002</v>
      </c>
      <c r="H54" s="2">
        <v>8.6016309523809493</v>
      </c>
      <c r="I54" s="2">
        <f t="shared" si="2"/>
        <v>8.6037740830445983</v>
      </c>
      <c r="K54" s="2">
        <v>8.6016309523809493</v>
      </c>
      <c r="L54" s="2">
        <f t="shared" si="3"/>
        <v>-2.1431306636490177E-3</v>
      </c>
      <c r="M54" s="21">
        <f t="shared" si="0"/>
        <v>8.6044733675612015</v>
      </c>
      <c r="N54" s="21">
        <f t="shared" si="4"/>
        <v>-2.8424151802521891E-3</v>
      </c>
      <c r="O54" s="2">
        <f t="shared" si="5"/>
        <v>8.6035005986458728</v>
      </c>
      <c r="P54" s="2">
        <f t="shared" si="6"/>
        <v>-1.8696462649234746E-3</v>
      </c>
      <c r="Q54" s="2">
        <f t="shared" si="7"/>
        <v>8.6036536090748914</v>
      </c>
      <c r="R54" s="2">
        <f t="shared" si="8"/>
        <v>-2.022656693942082E-3</v>
      </c>
      <c r="S54" s="2">
        <f t="shared" si="12"/>
        <v>8.6032886569393145</v>
      </c>
      <c r="T54" s="2">
        <f t="shared" si="9"/>
        <v>-1.657704558365225E-3</v>
      </c>
      <c r="U54" s="21">
        <f t="shared" si="10"/>
        <v>8.6036190209051107</v>
      </c>
      <c r="V54" s="21">
        <f t="shared" si="11"/>
        <v>-1.9880685241613349E-3</v>
      </c>
    </row>
    <row r="55" spans="1:22" x14ac:dyDescent="0.2">
      <c r="A55" s="17">
        <v>54</v>
      </c>
      <c r="B55">
        <v>25</v>
      </c>
      <c r="C55">
        <f t="shared" si="1"/>
        <v>298.14999999999998</v>
      </c>
      <c r="D55">
        <v>45</v>
      </c>
      <c r="E55" s="4">
        <f t="shared" si="15"/>
        <v>24.680000000000007</v>
      </c>
      <c r="F55">
        <v>297.83</v>
      </c>
      <c r="G55">
        <v>45.865000000000002</v>
      </c>
      <c r="H55" s="2">
        <v>8.5493426132522004</v>
      </c>
      <c r="I55" s="2">
        <f t="shared" si="2"/>
        <v>8.5502150635438152</v>
      </c>
      <c r="K55" s="2">
        <v>8.5493426132522004</v>
      </c>
      <c r="L55" s="2">
        <f t="shared" si="3"/>
        <v>-8.7245029161486798E-4</v>
      </c>
      <c r="M55" s="21">
        <f t="shared" si="0"/>
        <v>8.5507383166271911</v>
      </c>
      <c r="N55" s="21">
        <f t="shared" si="4"/>
        <v>-1.395703374990731E-3</v>
      </c>
      <c r="O55" s="2">
        <f t="shared" si="5"/>
        <v>8.5491835582023583</v>
      </c>
      <c r="P55" s="2">
        <f t="shared" si="6"/>
        <v>1.5905504984203844E-4</v>
      </c>
      <c r="Q55" s="2">
        <f t="shared" si="7"/>
        <v>8.5491918306853059</v>
      </c>
      <c r="R55" s="2">
        <f t="shared" si="8"/>
        <v>1.5078256689449177E-4</v>
      </c>
      <c r="S55" s="2">
        <f t="shared" si="12"/>
        <v>8.5497266056287256</v>
      </c>
      <c r="T55" s="2">
        <f t="shared" si="9"/>
        <v>-3.8399237652519957E-4</v>
      </c>
      <c r="U55" s="21">
        <f t="shared" si="10"/>
        <v>8.5503210130575535</v>
      </c>
      <c r="V55" s="21">
        <f t="shared" si="11"/>
        <v>-9.7839980535319171E-4</v>
      </c>
    </row>
    <row r="56" spans="1:22" x14ac:dyDescent="0.2">
      <c r="A56" s="8">
        <v>55</v>
      </c>
      <c r="B56">
        <v>30</v>
      </c>
      <c r="C56">
        <f t="shared" si="1"/>
        <v>303.14999999999998</v>
      </c>
      <c r="D56">
        <v>45</v>
      </c>
      <c r="E56" s="4">
        <f t="shared" si="15"/>
        <v>28.920000000000016</v>
      </c>
      <c r="F56">
        <v>302.07</v>
      </c>
      <c r="G56">
        <v>45.865000000000002</v>
      </c>
      <c r="H56" s="2">
        <v>8.4994064415700006</v>
      </c>
      <c r="I56" s="2">
        <f t="shared" si="2"/>
        <v>8.4998952363827112</v>
      </c>
      <c r="K56" s="2">
        <v>8.4994064415700006</v>
      </c>
      <c r="L56" s="2">
        <f t="shared" si="3"/>
        <v>-4.8879481271058012E-4</v>
      </c>
      <c r="M56" s="21">
        <f t="shared" si="0"/>
        <v>8.5005005594914671</v>
      </c>
      <c r="N56" s="21">
        <f t="shared" si="4"/>
        <v>-1.0941179214665198E-3</v>
      </c>
      <c r="O56" s="2">
        <f t="shared" si="5"/>
        <v>8.4982101297535557</v>
      </c>
      <c r="P56" s="2">
        <f t="shared" si="6"/>
        <v>1.1963118164448616E-3</v>
      </c>
      <c r="Q56" s="2">
        <f t="shared" si="7"/>
        <v>8.4980193218877371</v>
      </c>
      <c r="R56" s="2">
        <f t="shared" si="8"/>
        <v>1.3871196822634602E-3</v>
      </c>
      <c r="S56" s="2">
        <f t="shared" si="12"/>
        <v>8.4992520043772384</v>
      </c>
      <c r="T56" s="2">
        <f t="shared" si="9"/>
        <v>1.5443719276220236E-4</v>
      </c>
      <c r="U56" s="21">
        <f t="shared" si="10"/>
        <v>8.5002757597646994</v>
      </c>
      <c r="V56" s="21">
        <f t="shared" si="11"/>
        <v>-8.6931819469882043E-4</v>
      </c>
    </row>
    <row r="57" spans="1:22" x14ac:dyDescent="0.2">
      <c r="A57" s="8">
        <v>56</v>
      </c>
      <c r="B57">
        <v>35</v>
      </c>
      <c r="C57">
        <f t="shared" si="1"/>
        <v>308.14999999999998</v>
      </c>
      <c r="D57">
        <v>45</v>
      </c>
      <c r="E57" s="4">
        <f t="shared" si="15"/>
        <v>34.590000000000032</v>
      </c>
      <c r="F57">
        <v>307.74</v>
      </c>
      <c r="G57">
        <v>45.865000000000002</v>
      </c>
      <c r="H57" s="2">
        <v>8.4350603123977805</v>
      </c>
      <c r="I57" s="2">
        <f t="shared" si="2"/>
        <v>8.433205982311323</v>
      </c>
      <c r="K57" s="2">
        <v>8.4350603123977805</v>
      </c>
      <c r="L57" s="2">
        <f t="shared" si="3"/>
        <v>1.854330086457523E-3</v>
      </c>
      <c r="M57" s="21">
        <f t="shared" si="0"/>
        <v>8.4346646243545358</v>
      </c>
      <c r="N57" s="21">
        <f t="shared" si="4"/>
        <v>3.9568804324474627E-4</v>
      </c>
      <c r="O57" s="2">
        <f t="shared" si="5"/>
        <v>8.4311210501928198</v>
      </c>
      <c r="P57" s="2">
        <f t="shared" si="6"/>
        <v>3.9392622049607695E-3</v>
      </c>
      <c r="Q57" s="2">
        <f t="shared" si="7"/>
        <v>8.430574515166267</v>
      </c>
      <c r="R57" s="2">
        <f t="shared" si="8"/>
        <v>4.4857972315135441E-3</v>
      </c>
      <c r="S57" s="2">
        <f t="shared" si="12"/>
        <v>8.4320879161600235</v>
      </c>
      <c r="T57" s="2">
        <f t="shared" si="9"/>
        <v>2.9723962377570246E-3</v>
      </c>
      <c r="U57" s="21">
        <f t="shared" si="10"/>
        <v>8.4340102982692109</v>
      </c>
      <c r="V57" s="21">
        <f t="shared" si="11"/>
        <v>1.0500141285696429E-3</v>
      </c>
    </row>
    <row r="58" spans="1:22" x14ac:dyDescent="0.2">
      <c r="A58" s="8">
        <v>57</v>
      </c>
      <c r="B58">
        <v>0</v>
      </c>
      <c r="C58">
        <f t="shared" si="1"/>
        <v>273.14999999999998</v>
      </c>
      <c r="D58">
        <v>0</v>
      </c>
      <c r="E58" s="4">
        <f>F58-273.15</f>
        <v>0</v>
      </c>
      <c r="F58">
        <v>273.14999999999998</v>
      </c>
      <c r="G58">
        <v>0</v>
      </c>
      <c r="I58" s="2">
        <f t="shared" si="2"/>
        <v>9.5025585923890379</v>
      </c>
      <c r="J58" s="2">
        <v>9.5025585923890397</v>
      </c>
      <c r="K58" s="2">
        <v>9.5025585923890397</v>
      </c>
      <c r="L58" s="2">
        <f t="shared" si="3"/>
        <v>0</v>
      </c>
      <c r="M58" s="21">
        <f t="shared" si="0"/>
        <v>9.5007684451584566</v>
      </c>
      <c r="N58" s="21">
        <f t="shared" si="4"/>
        <v>1.7901472305830168E-3</v>
      </c>
      <c r="O58" s="2">
        <f t="shared" si="5"/>
        <v>9.5018740953101783</v>
      </c>
      <c r="P58" s="2">
        <f t="shared" si="6"/>
        <v>6.844970788613125E-4</v>
      </c>
      <c r="Q58" s="2">
        <f t="shared" si="7"/>
        <v>9.5018751418958729</v>
      </c>
      <c r="R58" s="2">
        <f t="shared" si="8"/>
        <v>6.8345049316675954E-4</v>
      </c>
      <c r="S58" s="2">
        <f t="shared" si="12"/>
        <v>9.5018421449384007</v>
      </c>
      <c r="T58" s="2">
        <f t="shared" si="9"/>
        <v>7.1644745063892401E-4</v>
      </c>
      <c r="U58" s="21">
        <f t="shared" si="10"/>
        <v>9.5005092209389375</v>
      </c>
      <c r="V58" s="21">
        <f t="shared" si="11"/>
        <v>2.0493714501021998E-3</v>
      </c>
    </row>
    <row r="59" spans="1:22" x14ac:dyDescent="0.2">
      <c r="A59" s="8">
        <v>58</v>
      </c>
      <c r="B59">
        <v>5</v>
      </c>
      <c r="C59">
        <f t="shared" si="1"/>
        <v>278.14999999999998</v>
      </c>
      <c r="D59">
        <v>0</v>
      </c>
      <c r="E59" s="4">
        <f t="shared" ref="E59:E63" si="16">F59-273.15</f>
        <v>5</v>
      </c>
      <c r="F59">
        <v>278.14999999999998</v>
      </c>
      <c r="G59">
        <v>0</v>
      </c>
      <c r="I59" s="2">
        <f t="shared" si="2"/>
        <v>9.4387683825509363</v>
      </c>
      <c r="J59" s="2">
        <v>9.4387683825509363</v>
      </c>
      <c r="K59" s="2">
        <v>9.4387683825509363</v>
      </c>
      <c r="L59" s="2">
        <f t="shared" si="3"/>
        <v>0</v>
      </c>
      <c r="M59" s="21">
        <f t="shared" si="0"/>
        <v>9.4384249051788132</v>
      </c>
      <c r="N59" s="21">
        <f t="shared" si="4"/>
        <v>3.4347737212314655E-4</v>
      </c>
      <c r="O59" s="2">
        <f t="shared" si="5"/>
        <v>9.4386812309279051</v>
      </c>
      <c r="P59" s="2">
        <f t="shared" si="6"/>
        <v>8.7151623031189729E-5</v>
      </c>
      <c r="Q59" s="2">
        <f t="shared" si="7"/>
        <v>9.4386493718146127</v>
      </c>
      <c r="R59" s="2">
        <f t="shared" si="8"/>
        <v>1.1901073632358816E-4</v>
      </c>
      <c r="S59" s="2">
        <f t="shared" si="12"/>
        <v>9.4387114705261723</v>
      </c>
      <c r="T59" s="2">
        <f t="shared" si="9"/>
        <v>5.6912024763988711E-5</v>
      </c>
      <c r="U59" s="21">
        <f t="shared" si="10"/>
        <v>9.4384038865218685</v>
      </c>
      <c r="V59" s="21">
        <f t="shared" si="11"/>
        <v>3.6449602906785117E-4</v>
      </c>
    </row>
    <row r="60" spans="1:22" x14ac:dyDescent="0.2">
      <c r="A60" s="8">
        <v>59</v>
      </c>
      <c r="B60">
        <v>10</v>
      </c>
      <c r="C60">
        <f t="shared" si="1"/>
        <v>283.14999999999998</v>
      </c>
      <c r="D60">
        <v>0</v>
      </c>
      <c r="E60" s="4">
        <f t="shared" si="16"/>
        <v>10</v>
      </c>
      <c r="F60">
        <v>283.14999999999998</v>
      </c>
      <c r="G60">
        <v>0</v>
      </c>
      <c r="I60" s="2">
        <f t="shared" si="2"/>
        <v>9.3805996831057872</v>
      </c>
      <c r="J60" s="2">
        <v>9.3805996831057872</v>
      </c>
      <c r="K60" s="2">
        <v>9.3805996831057872</v>
      </c>
      <c r="L60" s="2">
        <f t="shared" si="3"/>
        <v>0</v>
      </c>
      <c r="M60" s="21">
        <f t="shared" si="0"/>
        <v>9.3811757133619338</v>
      </c>
      <c r="N60" s="21">
        <f t="shared" si="4"/>
        <v>-5.7603025614660908E-4</v>
      </c>
      <c r="O60" s="2">
        <f t="shared" si="5"/>
        <v>9.3809045658641352</v>
      </c>
      <c r="P60" s="2">
        <f t="shared" si="6"/>
        <v>-3.0488275834805734E-4</v>
      </c>
      <c r="Q60" s="2">
        <f t="shared" si="7"/>
        <v>9.380858206765204</v>
      </c>
      <c r="R60" s="2">
        <f t="shared" si="8"/>
        <v>-2.5852365941680944E-4</v>
      </c>
      <c r="S60" s="2">
        <f t="shared" si="12"/>
        <v>9.3809772738823938</v>
      </c>
      <c r="T60" s="2">
        <f t="shared" si="9"/>
        <v>-3.7759077660659557E-4</v>
      </c>
      <c r="U60" s="21">
        <f t="shared" si="10"/>
        <v>9.3813066060593329</v>
      </c>
      <c r="V60" s="21">
        <f t="shared" si="11"/>
        <v>-7.0692295354568557E-4</v>
      </c>
    </row>
    <row r="61" spans="1:22" x14ac:dyDescent="0.2">
      <c r="A61" s="8">
        <v>60</v>
      </c>
      <c r="B61">
        <v>15</v>
      </c>
      <c r="C61">
        <f t="shared" si="1"/>
        <v>288.14999999999998</v>
      </c>
      <c r="D61">
        <v>0</v>
      </c>
      <c r="E61" s="4">
        <f t="shared" si="16"/>
        <v>15</v>
      </c>
      <c r="F61">
        <v>288.14999999999998</v>
      </c>
      <c r="G61">
        <v>0</v>
      </c>
      <c r="I61" s="2">
        <f t="shared" si="2"/>
        <v>9.327701400560402</v>
      </c>
      <c r="J61" s="2">
        <v>9.327701400560402</v>
      </c>
      <c r="K61" s="2">
        <v>9.327701400560402</v>
      </c>
      <c r="L61" s="2">
        <f t="shared" si="3"/>
        <v>0</v>
      </c>
      <c r="M61" s="21">
        <f t="shared" si="0"/>
        <v>9.3287054799602629</v>
      </c>
      <c r="N61" s="21">
        <f t="shared" si="4"/>
        <v>-1.0040793998609132E-3</v>
      </c>
      <c r="O61" s="2">
        <f t="shared" si="5"/>
        <v>9.3282068911856157</v>
      </c>
      <c r="P61" s="2">
        <f t="shared" si="6"/>
        <v>-5.0549062521376698E-4</v>
      </c>
      <c r="Q61" s="2">
        <f t="shared" si="7"/>
        <v>9.3281631804392049</v>
      </c>
      <c r="R61" s="2">
        <f t="shared" si="8"/>
        <v>-4.6177987880291482E-4</v>
      </c>
      <c r="S61" s="2">
        <f t="shared" si="12"/>
        <v>9.3283036768334355</v>
      </c>
      <c r="T61" s="2">
        <f t="shared" si="9"/>
        <v>-6.0227627303355291E-4</v>
      </c>
      <c r="U61" s="21">
        <f t="shared" si="10"/>
        <v>9.3289078335015887</v>
      </c>
      <c r="V61" s="21">
        <f t="shared" si="11"/>
        <v>-1.2064329411867192E-3</v>
      </c>
    </row>
    <row r="62" spans="1:22" x14ac:dyDescent="0.2">
      <c r="A62" s="8">
        <v>61</v>
      </c>
      <c r="B62">
        <v>20</v>
      </c>
      <c r="C62">
        <f t="shared" si="1"/>
        <v>293.14999999999998</v>
      </c>
      <c r="D62">
        <v>0</v>
      </c>
      <c r="E62" s="4">
        <f t="shared" si="16"/>
        <v>20</v>
      </c>
      <c r="F62">
        <v>293.14999999999998</v>
      </c>
      <c r="G62">
        <v>0</v>
      </c>
      <c r="I62" s="2">
        <f t="shared" si="2"/>
        <v>9.279748389054344</v>
      </c>
      <c r="J62" s="2">
        <v>9.279748389054344</v>
      </c>
      <c r="K62" s="2">
        <v>9.279748389054344</v>
      </c>
      <c r="L62" s="2">
        <f t="shared" si="3"/>
        <v>0</v>
      </c>
      <c r="M62" s="21">
        <f t="shared" si="0"/>
        <v>9.2807220451230776</v>
      </c>
      <c r="N62" s="21">
        <f t="shared" si="4"/>
        <v>-9.7365606873367483E-4</v>
      </c>
      <c r="O62" s="2">
        <f t="shared" si="5"/>
        <v>9.2802758892571688</v>
      </c>
      <c r="P62" s="2">
        <f t="shared" si="6"/>
        <v>-5.2750020282488208E-4</v>
      </c>
      <c r="Q62" s="2">
        <f t="shared" si="7"/>
        <v>9.2802508138193929</v>
      </c>
      <c r="R62" s="2">
        <f t="shared" si="8"/>
        <v>-5.0242476504891442E-4</v>
      </c>
      <c r="S62" s="2">
        <f t="shared" si="12"/>
        <v>9.2803795913372369</v>
      </c>
      <c r="T62" s="2">
        <f t="shared" si="9"/>
        <v>-6.3120228289292868E-4</v>
      </c>
      <c r="U62" s="21">
        <f t="shared" si="10"/>
        <v>9.2809208079012038</v>
      </c>
      <c r="V62" s="21">
        <f t="shared" si="11"/>
        <v>-1.1724188468598129E-3</v>
      </c>
    </row>
    <row r="63" spans="1:22" x14ac:dyDescent="0.2">
      <c r="A63" s="8">
        <v>62</v>
      </c>
      <c r="B63">
        <v>25</v>
      </c>
      <c r="C63">
        <f t="shared" si="1"/>
        <v>298.14999999999998</v>
      </c>
      <c r="D63">
        <v>0</v>
      </c>
      <c r="E63" s="4">
        <f t="shared" si="16"/>
        <v>25</v>
      </c>
      <c r="F63">
        <v>298.14999999999998</v>
      </c>
      <c r="G63">
        <v>0</v>
      </c>
      <c r="I63" s="2">
        <f t="shared" si="2"/>
        <v>9.236439174278031</v>
      </c>
      <c r="J63" s="2">
        <v>9.236439174278031</v>
      </c>
      <c r="K63" s="2">
        <v>9.236439174278031</v>
      </c>
      <c r="L63" s="2">
        <f t="shared" si="3"/>
        <v>0</v>
      </c>
      <c r="M63" s="21">
        <f t="shared" si="0"/>
        <v>9.236954444881448</v>
      </c>
      <c r="N63" s="21">
        <f t="shared" si="4"/>
        <v>-5.1527060341705067E-4</v>
      </c>
      <c r="O63" s="2">
        <f t="shared" si="5"/>
        <v>9.2368219517222343</v>
      </c>
      <c r="P63" s="2">
        <f t="shared" si="6"/>
        <v>-3.8277744420334159E-4</v>
      </c>
      <c r="Q63" s="2">
        <f t="shared" si="7"/>
        <v>9.2368304245975423</v>
      </c>
      <c r="R63" s="2">
        <f t="shared" si="8"/>
        <v>-3.9125031951137146E-4</v>
      </c>
      <c r="S63" s="2">
        <f t="shared" si="12"/>
        <v>9.2369165464688407</v>
      </c>
      <c r="T63" s="2">
        <f t="shared" si="9"/>
        <v>-4.7737219080978832E-4</v>
      </c>
      <c r="U63" s="21">
        <f t="shared" si="10"/>
        <v>9.2370795590146315</v>
      </c>
      <c r="V63" s="21">
        <f t="shared" si="11"/>
        <v>-6.4038473660055217E-4</v>
      </c>
    </row>
    <row r="64" spans="1:22" x14ac:dyDescent="0.2">
      <c r="A64" s="8">
        <v>63</v>
      </c>
      <c r="B64">
        <v>30</v>
      </c>
      <c r="C64">
        <f t="shared" si="1"/>
        <v>303.14999999999998</v>
      </c>
      <c r="D64">
        <v>0</v>
      </c>
      <c r="E64" s="4">
        <f>F64-273.15</f>
        <v>30</v>
      </c>
      <c r="F64">
        <v>303.14999999999998</v>
      </c>
      <c r="G64">
        <v>0</v>
      </c>
      <c r="I64" s="2">
        <f t="shared" si="2"/>
        <v>9.197493909256881</v>
      </c>
      <c r="J64" s="2">
        <v>9.197493909256881</v>
      </c>
      <c r="K64" s="2">
        <v>9.197493909256881</v>
      </c>
      <c r="L64" s="2">
        <f t="shared" si="3"/>
        <v>0</v>
      </c>
      <c r="M64" s="21">
        <f t="shared" si="0"/>
        <v>9.1971510841081354</v>
      </c>
      <c r="N64" s="21">
        <f t="shared" si="4"/>
        <v>3.4282514874561798E-4</v>
      </c>
      <c r="O64" s="2">
        <f t="shared" si="5"/>
        <v>9.1975762196787443</v>
      </c>
      <c r="P64" s="2">
        <f t="shared" si="6"/>
        <v>-8.231042186324089E-5</v>
      </c>
      <c r="Q64" s="2">
        <f t="shared" si="7"/>
        <v>9.1976321596687285</v>
      </c>
      <c r="R64" s="2">
        <f t="shared" si="8"/>
        <v>-1.3825041184745146E-4</v>
      </c>
      <c r="S64" s="2">
        <f t="shared" si="12"/>
        <v>9.1976467366756154</v>
      </c>
      <c r="T64" s="2">
        <f t="shared" si="9"/>
        <v>-1.5282741873434702E-4</v>
      </c>
      <c r="U64" s="21">
        <f t="shared" si="10"/>
        <v>9.1971371158049635</v>
      </c>
      <c r="V64" s="21">
        <f t="shared" si="11"/>
        <v>3.5679345191752532E-4</v>
      </c>
    </row>
    <row r="65" spans="1:22" x14ac:dyDescent="0.2">
      <c r="A65" s="8">
        <v>64</v>
      </c>
      <c r="B65">
        <v>35</v>
      </c>
      <c r="C65">
        <f t="shared" si="1"/>
        <v>308.14999999999998</v>
      </c>
      <c r="D65">
        <v>0</v>
      </c>
      <c r="E65" s="4">
        <f>F65-273.15</f>
        <v>35</v>
      </c>
      <c r="F65">
        <v>308.14999999999998</v>
      </c>
      <c r="G65">
        <v>0</v>
      </c>
      <c r="I65" s="2">
        <f t="shared" si="2"/>
        <v>9.1626525351283945</v>
      </c>
      <c r="J65" s="2">
        <v>9.1626525351283945</v>
      </c>
      <c r="K65" s="2">
        <v>9.1626525351283945</v>
      </c>
      <c r="L65" s="2">
        <f t="shared" si="3"/>
        <v>0</v>
      </c>
      <c r="M65" s="21">
        <f t="shared" si="0"/>
        <v>9.1610780924825121</v>
      </c>
      <c r="N65" s="21">
        <f t="shared" si="4"/>
        <v>1.5744426458823568E-3</v>
      </c>
      <c r="O65" s="2">
        <f t="shared" si="5"/>
        <v>9.1622888203051218</v>
      </c>
      <c r="P65" s="2">
        <f t="shared" si="6"/>
        <v>3.6371482327268723E-4</v>
      </c>
      <c r="Q65" s="2">
        <f t="shared" si="7"/>
        <v>9.1624052248542895</v>
      </c>
      <c r="R65" s="2">
        <f t="shared" si="8"/>
        <v>2.4731027410496154E-4</v>
      </c>
      <c r="S65" s="2">
        <f t="shared" si="12"/>
        <v>9.1623212656650637</v>
      </c>
      <c r="T65" s="2">
        <f t="shared" si="9"/>
        <v>3.3126946333084106E-4</v>
      </c>
      <c r="U65" s="21">
        <f t="shared" si="10"/>
        <v>9.1608638943513512</v>
      </c>
      <c r="V65" s="21">
        <f t="shared" si="11"/>
        <v>1.7886407770433266E-3</v>
      </c>
    </row>
    <row r="66" spans="1:22" x14ac:dyDescent="0.2">
      <c r="A66" s="8">
        <v>65</v>
      </c>
      <c r="B66">
        <v>40</v>
      </c>
      <c r="C66">
        <f t="shared" si="1"/>
        <v>313.14999999999998</v>
      </c>
      <c r="D66">
        <v>0</v>
      </c>
      <c r="E66" s="4">
        <f>F66-273.15</f>
        <v>40</v>
      </c>
      <c r="F66">
        <v>313.14999999999998</v>
      </c>
      <c r="G66">
        <v>0</v>
      </c>
      <c r="I66" s="2">
        <f t="shared" si="2"/>
        <v>9.1316731235234538</v>
      </c>
      <c r="J66" s="2">
        <v>9.1316731235234538</v>
      </c>
      <c r="K66" s="2">
        <v>9.1316731235234538</v>
      </c>
      <c r="L66" s="2">
        <f t="shared" si="3"/>
        <v>0</v>
      </c>
      <c r="M66" s="21">
        <f t="shared" si="0"/>
        <v>9.128517842596473</v>
      </c>
      <c r="N66" s="21">
        <f t="shared" si="4"/>
        <v>3.155280926980808E-3</v>
      </c>
      <c r="O66" s="2">
        <f t="shared" si="5"/>
        <v>9.1307272775283934</v>
      </c>
      <c r="P66" s="2">
        <f t="shared" si="6"/>
        <v>9.4584599506042366E-4</v>
      </c>
      <c r="Q66" s="2">
        <f t="shared" si="7"/>
        <v>9.1309162893558025</v>
      </c>
      <c r="R66" s="2">
        <f t="shared" si="8"/>
        <v>7.5683416765137679E-4</v>
      </c>
      <c r="S66" s="2">
        <f t="shared" si="12"/>
        <v>9.1307085636107317</v>
      </c>
      <c r="T66" s="2">
        <f t="shared" si="9"/>
        <v>9.6455991272215158E-4</v>
      </c>
      <c r="U66" s="21">
        <f t="shared" si="10"/>
        <v>9.1280462447140494</v>
      </c>
      <c r="V66" s="21">
        <f t="shared" si="11"/>
        <v>3.6268788094044879E-3</v>
      </c>
    </row>
    <row r="67" spans="1:22" x14ac:dyDescent="0.2">
      <c r="A67" s="8">
        <v>66</v>
      </c>
      <c r="B67">
        <v>45</v>
      </c>
      <c r="C67">
        <f t="shared" ref="C67:C117" si="17">B67+273.15</f>
        <v>318.14999999999998</v>
      </c>
      <c r="D67">
        <v>0</v>
      </c>
      <c r="E67" s="4">
        <f>F67-273.15</f>
        <v>45</v>
      </c>
      <c r="F67">
        <v>318.14999999999998</v>
      </c>
      <c r="G67">
        <v>0</v>
      </c>
      <c r="I67" s="2">
        <f t="shared" ref="I67:I117" si="18">-LOG(EXP((-8966.9-2890.53*G67^(0.5)-77.942*G67+1.728*(G67)^1.5-0.0996*G67^2)/F67+(148.0248+137.1942*G67^(0.5)+1.62142*G67)+(-24.4344-25.085*G67^(0.5)-0.2474*G67)*LN(F67)+(0.053105*G67^0.5)*F67))</f>
        <v>9.104330380148129</v>
      </c>
      <c r="J67" s="2">
        <v>9.104330380148129</v>
      </c>
      <c r="K67" s="2">
        <v>9.104330380148129</v>
      </c>
      <c r="L67" s="2">
        <f t="shared" ref="L67:L117" si="19">K67-I67</f>
        <v>0</v>
      </c>
      <c r="M67" s="21">
        <f t="shared" ref="M67:M117" si="20">-54.281+(3458.924/F67)+(-170.4282*G67^(1/2)/F67)+(-0.076232*G67^(1/2)/(1+G67^(1/2)))+(9.112029*LN(F67))+(0.25741444*G67^(1/2)*LN(F67))+(-0.0034385*G67^(1/2)*F67)+(0.00001886*G67*F67)</f>
        <v>9.0992676119992666</v>
      </c>
      <c r="N67" s="21">
        <f t="shared" ref="N67:N117" si="21">K67-M67</f>
        <v>5.0627681488624177E-3</v>
      </c>
      <c r="O67" s="2">
        <f t="shared" ref="O67:O117" si="22">-60.4127+(3725.246/F67)+(-201.715*G67^(1/2)/F67)+(-0.07761*G67^(1/2)/(1+G67^(1/2)))+(10.03142*LN(F67))+(0.304366*G67^(1/2)*LN(F67))+(-0.003981*G67^(1/2)*F67)+(0.00001843*G67*F67)</f>
        <v>9.1026750771861913</v>
      </c>
      <c r="P67" s="2">
        <f t="shared" ref="P67:P117" si="23">K67-O67</f>
        <v>1.6553029619377213E-3</v>
      </c>
      <c r="Q67" s="2">
        <f t="shared" ref="Q67:Q117" si="24">-60.77408+(3740.7185/F67)+(-207.8923*G67^(1/2)/F67)+(-0.0781334*G67^(1/2)/(1+G67^(1/2)))+(10.08574*LN(F67))+(0.313662*G67^(1/2)*LN(F67))+(-0.004088*G67^(1/2)*F67)+(0.000018292*G67*F67)</f>
        <v>9.1029480453140366</v>
      </c>
      <c r="R67" s="2">
        <f t="shared" ref="R67:R117" si="25">K67-Q67</f>
        <v>1.3823348340924468E-3</v>
      </c>
      <c r="S67" s="2">
        <f t="shared" ref="S67:S117" si="26">-60.04385+88.29443*G67^0.5+3709.084*1/F67+2982.69818*G67^0.5/F67+(-0.0785885)*(G67^0.5/(1+G67^0.5))+9.9762129*LN(F67)+(-524.59154)*G67^0.5/LN(F67)+(-0.0213143)*G67^0.5*F67+0.00001828*G67*F67</f>
        <v>9.1025929582102592</v>
      </c>
      <c r="T67" s="2">
        <f t="shared" ref="T67:T117" si="27">K67-S67</f>
        <v>1.7374219378698541E-3</v>
      </c>
      <c r="U67" s="21">
        <f t="shared" ref="U67:U117" si="28">-52.64408+75.863836*G67^0.5+3387.6804*1/F67+2567.69802*G67^0.5/F67+(-0.077835)*(G67^0.5/(1+G67^0.5))+8.86669*LN(F67)+(-450.889)*G67^0.5/LN(F67)+(-0.0183418)*G67^0.5*F67+0.000018531*G67*F67</f>
        <v>9.0984851389133539</v>
      </c>
      <c r="V67" s="21">
        <f t="shared" ref="V67:V117" si="29">K67-U67</f>
        <v>5.8452412347751448E-3</v>
      </c>
    </row>
    <row r="68" spans="1:22" x14ac:dyDescent="0.2">
      <c r="A68" s="8">
        <v>67</v>
      </c>
      <c r="B68">
        <v>0</v>
      </c>
      <c r="C68">
        <f t="shared" si="17"/>
        <v>273.14999999999998</v>
      </c>
      <c r="D68">
        <v>5</v>
      </c>
      <c r="E68" s="4">
        <f>F68-273.15</f>
        <v>0</v>
      </c>
      <c r="F68">
        <v>273.14999999999998</v>
      </c>
      <c r="G68">
        <v>5</v>
      </c>
      <c r="I68" s="2">
        <f t="shared" si="18"/>
        <v>9.2094081124075426</v>
      </c>
      <c r="J68" s="2">
        <v>9.2104739427559732</v>
      </c>
      <c r="K68" s="2">
        <v>9.2104739427559732</v>
      </c>
      <c r="L68" s="2">
        <f t="shared" si="19"/>
        <v>1.065830348430552E-3</v>
      </c>
      <c r="M68" s="21">
        <f t="shared" si="20"/>
        <v>9.2076204457752535</v>
      </c>
      <c r="N68" s="21">
        <f t="shared" si="21"/>
        <v>2.8534969807196831E-3</v>
      </c>
      <c r="O68" s="2">
        <f t="shared" si="22"/>
        <v>9.2086951863876507</v>
      </c>
      <c r="P68" s="2">
        <f t="shared" si="23"/>
        <v>1.7787563683224761E-3</v>
      </c>
      <c r="Q68" s="2">
        <f t="shared" si="24"/>
        <v>9.2088362824132179</v>
      </c>
      <c r="R68" s="2">
        <f t="shared" si="25"/>
        <v>1.6376603427552539E-3</v>
      </c>
      <c r="S68" s="2">
        <f t="shared" si="26"/>
        <v>9.20940160122767</v>
      </c>
      <c r="T68" s="2">
        <f t="shared" si="27"/>
        <v>1.0723415283031557E-3</v>
      </c>
      <c r="U68" s="21">
        <f t="shared" si="28"/>
        <v>9.2082396709605838</v>
      </c>
      <c r="V68" s="21">
        <f t="shared" si="29"/>
        <v>2.2342717953893754E-3</v>
      </c>
    </row>
    <row r="69" spans="1:22" x14ac:dyDescent="0.2">
      <c r="A69" s="8">
        <v>68</v>
      </c>
      <c r="B69">
        <v>5</v>
      </c>
      <c r="C69">
        <f t="shared" si="17"/>
        <v>278.14999999999998</v>
      </c>
      <c r="D69">
        <v>5</v>
      </c>
      <c r="E69" s="4">
        <f t="shared" ref="E69:E73" si="30">F69-273.15</f>
        <v>5</v>
      </c>
      <c r="F69">
        <v>278.14999999999998</v>
      </c>
      <c r="G69">
        <v>5</v>
      </c>
      <c r="I69" s="2">
        <f t="shared" si="18"/>
        <v>9.1440045183639693</v>
      </c>
      <c r="J69" s="2">
        <v>9.1443308931621079</v>
      </c>
      <c r="K69" s="2">
        <v>9.1443308931621079</v>
      </c>
      <c r="L69" s="2">
        <f t="shared" si="19"/>
        <v>3.263747981385734E-4</v>
      </c>
      <c r="M69" s="21">
        <f t="shared" si="20"/>
        <v>9.1428251458177865</v>
      </c>
      <c r="N69" s="21">
        <f t="shared" si="21"/>
        <v>1.5057473443214064E-3</v>
      </c>
      <c r="O69" s="2">
        <f t="shared" si="22"/>
        <v>9.1434828870475755</v>
      </c>
      <c r="P69" s="2">
        <f t="shared" si="23"/>
        <v>8.4800611453239583E-4</v>
      </c>
      <c r="Q69" s="2">
        <f t="shared" si="24"/>
        <v>9.1436774062750796</v>
      </c>
      <c r="R69" s="2">
        <f t="shared" si="25"/>
        <v>6.5348688702826507E-4</v>
      </c>
      <c r="S69" s="2">
        <f t="shared" si="26"/>
        <v>9.1434140009773657</v>
      </c>
      <c r="T69" s="2">
        <f t="shared" si="27"/>
        <v>9.16892184742224E-4</v>
      </c>
      <c r="U69" s="21">
        <f t="shared" si="28"/>
        <v>9.1429060850837089</v>
      </c>
      <c r="V69" s="21">
        <f t="shared" si="29"/>
        <v>1.4248080783989536E-3</v>
      </c>
    </row>
    <row r="70" spans="1:22" x14ac:dyDescent="0.2">
      <c r="A70" s="8">
        <v>69</v>
      </c>
      <c r="B70">
        <v>10</v>
      </c>
      <c r="C70">
        <f t="shared" si="17"/>
        <v>283.14999999999998</v>
      </c>
      <c r="D70">
        <v>5</v>
      </c>
      <c r="E70" s="4">
        <f t="shared" si="30"/>
        <v>10</v>
      </c>
      <c r="F70">
        <v>283.14999999999998</v>
      </c>
      <c r="G70">
        <v>5</v>
      </c>
      <c r="I70" s="2">
        <f t="shared" si="18"/>
        <v>9.0830763694696994</v>
      </c>
      <c r="J70" s="2">
        <v>9.0830085123173703</v>
      </c>
      <c r="K70" s="2">
        <v>9.0830085123173703</v>
      </c>
      <c r="L70" s="2">
        <f t="shared" si="19"/>
        <v>-6.7857152329153791E-5</v>
      </c>
      <c r="M70" s="21">
        <f t="shared" si="20"/>
        <v>9.0820524431208849</v>
      </c>
      <c r="N70" s="21">
        <f t="shared" si="21"/>
        <v>9.5606919648538735E-4</v>
      </c>
      <c r="O70" s="2">
        <f t="shared" si="22"/>
        <v>9.0824185063299669</v>
      </c>
      <c r="P70" s="2">
        <f t="shared" si="23"/>
        <v>5.9000598740333032E-4</v>
      </c>
      <c r="Q70" s="2">
        <f t="shared" si="24"/>
        <v>9.0826460327470215</v>
      </c>
      <c r="R70" s="2">
        <f t="shared" si="25"/>
        <v>3.6247957034873934E-4</v>
      </c>
      <c r="S70" s="2">
        <f t="shared" si="26"/>
        <v>9.0821021316145334</v>
      </c>
      <c r="T70" s="2">
        <f t="shared" si="27"/>
        <v>9.0638070283688421E-4</v>
      </c>
      <c r="U70" s="21">
        <f t="shared" si="28"/>
        <v>9.0819821382193293</v>
      </c>
      <c r="V70" s="21">
        <f t="shared" si="29"/>
        <v>1.0263740980409608E-3</v>
      </c>
    </row>
    <row r="71" spans="1:22" x14ac:dyDescent="0.2">
      <c r="A71" s="8">
        <v>70</v>
      </c>
      <c r="B71">
        <v>15</v>
      </c>
      <c r="C71">
        <f t="shared" si="17"/>
        <v>288.14999999999998</v>
      </c>
      <c r="D71">
        <v>5</v>
      </c>
      <c r="E71" s="4">
        <f t="shared" si="30"/>
        <v>15</v>
      </c>
      <c r="F71">
        <v>288.14999999999998</v>
      </c>
      <c r="G71">
        <v>5</v>
      </c>
      <c r="I71" s="2">
        <f t="shared" si="18"/>
        <v>9.0261950739117864</v>
      </c>
      <c r="J71" s="2">
        <v>9.0261593646362339</v>
      </c>
      <c r="K71" s="2">
        <v>9.0261593646362339</v>
      </c>
      <c r="L71" s="2">
        <f t="shared" si="19"/>
        <v>-3.5709275552520126E-5</v>
      </c>
      <c r="M71" s="21">
        <f t="shared" si="20"/>
        <v>9.0250395683380358</v>
      </c>
      <c r="N71" s="21">
        <f t="shared" si="21"/>
        <v>1.1197962981981391E-3</v>
      </c>
      <c r="O71" s="2">
        <f t="shared" si="22"/>
        <v>9.0252271079389672</v>
      </c>
      <c r="P71" s="2">
        <f t="shared" si="23"/>
        <v>9.3225669726670901E-4</v>
      </c>
      <c r="Q71" s="2">
        <f t="shared" si="24"/>
        <v>9.0254678745596948</v>
      </c>
      <c r="R71" s="2">
        <f t="shared" si="25"/>
        <v>6.914900765391252E-4</v>
      </c>
      <c r="S71" s="2">
        <f t="shared" si="26"/>
        <v>9.025002665219322</v>
      </c>
      <c r="T71" s="2">
        <f t="shared" si="27"/>
        <v>1.1566994169118772E-3</v>
      </c>
      <c r="U71" s="21">
        <f t="shared" si="28"/>
        <v>9.0250476437837346</v>
      </c>
      <c r="V71" s="21">
        <f t="shared" si="29"/>
        <v>1.1117208524993316E-3</v>
      </c>
    </row>
    <row r="72" spans="1:22" x14ac:dyDescent="0.2">
      <c r="A72" s="8">
        <v>71</v>
      </c>
      <c r="B72">
        <v>20</v>
      </c>
      <c r="C72">
        <f t="shared" si="17"/>
        <v>293.14999999999998</v>
      </c>
      <c r="D72">
        <v>5</v>
      </c>
      <c r="E72" s="4">
        <f t="shared" si="30"/>
        <v>20</v>
      </c>
      <c r="F72">
        <v>293.14999999999998</v>
      </c>
      <c r="G72">
        <v>5</v>
      </c>
      <c r="I72" s="2">
        <f t="shared" si="18"/>
        <v>8.9729679542781664</v>
      </c>
      <c r="J72" s="2">
        <v>8.9728714317067038</v>
      </c>
      <c r="K72" s="2">
        <v>8.9728714317067038</v>
      </c>
      <c r="L72" s="2">
        <f t="shared" si="19"/>
        <v>-9.6522571462642759E-5</v>
      </c>
      <c r="M72" s="21">
        <f t="shared" si="20"/>
        <v>8.9715435002042589</v>
      </c>
      <c r="N72" s="21">
        <f t="shared" si="21"/>
        <v>1.3279315024448124E-3</v>
      </c>
      <c r="O72" s="2">
        <f t="shared" si="22"/>
        <v>8.9716545262751417</v>
      </c>
      <c r="P72" s="2">
        <f t="shared" si="23"/>
        <v>1.2169054315620542E-3</v>
      </c>
      <c r="Q72" s="2">
        <f t="shared" si="24"/>
        <v>8.9718893849768815</v>
      </c>
      <c r="R72" s="2">
        <f t="shared" si="25"/>
        <v>9.8204672982227237E-4</v>
      </c>
      <c r="S72" s="2">
        <f t="shared" si="26"/>
        <v>8.9716921381434922</v>
      </c>
      <c r="T72" s="2">
        <f t="shared" si="27"/>
        <v>1.1792935632115586E-3</v>
      </c>
      <c r="U72" s="21">
        <f t="shared" si="28"/>
        <v>8.9717182314249975</v>
      </c>
      <c r="V72" s="21">
        <f t="shared" si="29"/>
        <v>1.1532002817062903E-3</v>
      </c>
    </row>
    <row r="73" spans="1:22" x14ac:dyDescent="0.2">
      <c r="A73" s="8">
        <v>72</v>
      </c>
      <c r="B73">
        <v>25</v>
      </c>
      <c r="C73">
        <f t="shared" si="17"/>
        <v>298.14999999999998</v>
      </c>
      <c r="D73">
        <v>5</v>
      </c>
      <c r="E73" s="4">
        <f t="shared" si="30"/>
        <v>25</v>
      </c>
      <c r="F73">
        <v>298.14999999999998</v>
      </c>
      <c r="G73">
        <v>5</v>
      </c>
      <c r="I73" s="2">
        <f t="shared" si="18"/>
        <v>8.9230349002853249</v>
      </c>
      <c r="J73" s="2">
        <v>8.9232750018733533</v>
      </c>
      <c r="K73" s="2">
        <v>8.9232750018733533</v>
      </c>
      <c r="L73" s="2">
        <f t="shared" si="19"/>
        <v>2.4010158802845183E-4</v>
      </c>
      <c r="M73" s="21">
        <f t="shared" si="20"/>
        <v>8.9213392180289066</v>
      </c>
      <c r="N73" s="21">
        <f t="shared" si="21"/>
        <v>1.9357838444467035E-3</v>
      </c>
      <c r="O73" s="2">
        <f t="shared" si="22"/>
        <v>8.9214655234933957</v>
      </c>
      <c r="P73" s="2">
        <f t="shared" si="23"/>
        <v>1.8094783799575964E-3</v>
      </c>
      <c r="Q73" s="2">
        <f t="shared" si="24"/>
        <v>8.9216759166723758</v>
      </c>
      <c r="R73" s="2">
        <f t="shared" si="25"/>
        <v>1.5990852009775125E-3</v>
      </c>
      <c r="S73" s="2">
        <f t="shared" si="26"/>
        <v>8.9217831641742169</v>
      </c>
      <c r="T73" s="2">
        <f t="shared" si="27"/>
        <v>1.4918376991364113E-3</v>
      </c>
      <c r="U73" s="21">
        <f t="shared" si="28"/>
        <v>8.9216419592618283</v>
      </c>
      <c r="V73" s="21">
        <f t="shared" si="29"/>
        <v>1.6330426115249708E-3</v>
      </c>
    </row>
    <row r="74" spans="1:22" x14ac:dyDescent="0.2">
      <c r="A74" s="8">
        <v>73</v>
      </c>
      <c r="B74">
        <v>30</v>
      </c>
      <c r="C74">
        <f t="shared" si="17"/>
        <v>303.14999999999998</v>
      </c>
      <c r="D74">
        <v>5</v>
      </c>
      <c r="E74" s="4">
        <f>F74-273.15</f>
        <v>30</v>
      </c>
      <c r="F74">
        <v>303.14999999999998</v>
      </c>
      <c r="G74">
        <v>5</v>
      </c>
      <c r="I74" s="2">
        <f t="shared" si="18"/>
        <v>8.8760653749161094</v>
      </c>
      <c r="J74" s="2">
        <v>8.8765014861723746</v>
      </c>
      <c r="K74" s="2">
        <v>8.8765014861723746</v>
      </c>
      <c r="L74" s="2">
        <f t="shared" si="19"/>
        <v>4.3611125626519254E-4</v>
      </c>
      <c r="M74" s="21">
        <f t="shared" si="20"/>
        <v>8.8742181331695633</v>
      </c>
      <c r="N74" s="21">
        <f t="shared" si="21"/>
        <v>2.2833530028112392E-3</v>
      </c>
      <c r="O74" s="2">
        <f t="shared" si="22"/>
        <v>8.8744421356256638</v>
      </c>
      <c r="P74" s="2">
        <f t="shared" si="23"/>
        <v>2.0593505467108031E-3</v>
      </c>
      <c r="Q74" s="2">
        <f t="shared" si="24"/>
        <v>8.8746100695383223</v>
      </c>
      <c r="R74" s="2">
        <f t="shared" si="25"/>
        <v>1.8914166340522343E-3</v>
      </c>
      <c r="S74" s="2">
        <f t="shared" si="26"/>
        <v>8.8749210533088334</v>
      </c>
      <c r="T74" s="2">
        <f t="shared" si="27"/>
        <v>1.580432863541148E-3</v>
      </c>
      <c r="U74" s="21">
        <f t="shared" si="28"/>
        <v>8.8744962880876912</v>
      </c>
      <c r="V74" s="21">
        <f t="shared" si="29"/>
        <v>2.0051980846833573E-3</v>
      </c>
    </row>
    <row r="75" spans="1:22" x14ac:dyDescent="0.2">
      <c r="A75" s="8">
        <v>74</v>
      </c>
      <c r="B75">
        <v>35</v>
      </c>
      <c r="C75">
        <f t="shared" si="17"/>
        <v>308.14999999999998</v>
      </c>
      <c r="D75">
        <v>5</v>
      </c>
      <c r="E75" s="4">
        <f>F75-273.15</f>
        <v>35</v>
      </c>
      <c r="F75">
        <v>308.14999999999998</v>
      </c>
      <c r="G75">
        <v>5</v>
      </c>
      <c r="I75" s="2">
        <f t="shared" si="18"/>
        <v>8.8317557320302278</v>
      </c>
      <c r="J75" s="2">
        <v>8.8322034490182428</v>
      </c>
      <c r="K75" s="2">
        <v>8.8322034490182428</v>
      </c>
      <c r="L75" s="2">
        <f t="shared" si="19"/>
        <v>4.4771698801504556E-4</v>
      </c>
      <c r="M75" s="21">
        <f t="shared" si="20"/>
        <v>8.8299866786675469</v>
      </c>
      <c r="N75" s="21">
        <f t="shared" si="21"/>
        <v>2.2167703506958958E-3</v>
      </c>
      <c r="O75" s="2">
        <f t="shared" si="22"/>
        <v>8.8303821857515228</v>
      </c>
      <c r="P75" s="2">
        <f t="shared" si="23"/>
        <v>1.8212632667200523E-3</v>
      </c>
      <c r="Q75" s="2">
        <f t="shared" si="24"/>
        <v>8.8304902054198511</v>
      </c>
      <c r="R75" s="2">
        <f t="shared" si="25"/>
        <v>1.713243598391756E-3</v>
      </c>
      <c r="S75" s="2">
        <f t="shared" si="26"/>
        <v>8.8307807874622011</v>
      </c>
      <c r="T75" s="2">
        <f t="shared" si="27"/>
        <v>1.4226615560417599E-3</v>
      </c>
      <c r="U75" s="21">
        <f t="shared" si="28"/>
        <v>8.8299853741689045</v>
      </c>
      <c r="V75" s="21">
        <f t="shared" si="29"/>
        <v>2.2180748493383362E-3</v>
      </c>
    </row>
    <row r="76" spans="1:22" x14ac:dyDescent="0.2">
      <c r="A76" s="8">
        <v>75</v>
      </c>
      <c r="B76">
        <v>40</v>
      </c>
      <c r="C76">
        <f t="shared" si="17"/>
        <v>313.14999999999998</v>
      </c>
      <c r="D76">
        <v>5</v>
      </c>
      <c r="E76" s="4">
        <f>F76-273.15</f>
        <v>40</v>
      </c>
      <c r="F76">
        <v>313.14999999999998</v>
      </c>
      <c r="G76">
        <v>5</v>
      </c>
      <c r="I76" s="2">
        <f t="shared" si="18"/>
        <v>8.7898268090358318</v>
      </c>
      <c r="J76" s="2">
        <v>8.7895991603435313</v>
      </c>
      <c r="K76" s="2">
        <v>8.7895991603435313</v>
      </c>
      <c r="L76" s="2">
        <f t="shared" si="19"/>
        <v>-2.2764869230051943E-4</v>
      </c>
      <c r="M76" s="21">
        <f t="shared" si="20"/>
        <v>8.7884650389317667</v>
      </c>
      <c r="N76" s="21">
        <f t="shared" si="21"/>
        <v>1.1341214117646103E-3</v>
      </c>
      <c r="O76" s="2">
        <f t="shared" si="22"/>
        <v>8.789097945064464</v>
      </c>
      <c r="P76" s="2">
        <f t="shared" si="23"/>
        <v>5.012152790673241E-4</v>
      </c>
      <c r="Q76" s="2">
        <f t="shared" si="24"/>
        <v>8.7891291106336524</v>
      </c>
      <c r="R76" s="2">
        <f t="shared" si="25"/>
        <v>4.7004970987885031E-4</v>
      </c>
      <c r="S76" s="2">
        <f t="shared" si="26"/>
        <v>8.7890643109008462</v>
      </c>
      <c r="T76" s="2">
        <f t="shared" si="27"/>
        <v>5.348494426851147E-4</v>
      </c>
      <c r="U76" s="21">
        <f t="shared" si="28"/>
        <v>8.7878376430301337</v>
      </c>
      <c r="V76" s="21">
        <f t="shared" si="29"/>
        <v>1.7615173133975759E-3</v>
      </c>
    </row>
    <row r="77" spans="1:22" x14ac:dyDescent="0.2">
      <c r="A77" s="8">
        <v>76</v>
      </c>
      <c r="B77">
        <v>45</v>
      </c>
      <c r="C77">
        <f t="shared" si="17"/>
        <v>318.14999999999998</v>
      </c>
      <c r="D77">
        <v>5</v>
      </c>
      <c r="E77" s="4">
        <f>F77-273.15</f>
        <v>45</v>
      </c>
      <c r="F77">
        <v>318.14999999999998</v>
      </c>
      <c r="G77">
        <v>5</v>
      </c>
      <c r="I77" s="2">
        <f t="shared" si="18"/>
        <v>8.7500217629416763</v>
      </c>
      <c r="J77" s="2">
        <v>8.7489057673891981</v>
      </c>
      <c r="K77" s="2">
        <v>8.7489057673891981</v>
      </c>
      <c r="L77" s="2">
        <f t="shared" si="19"/>
        <v>-1.1159955524782106E-3</v>
      </c>
      <c r="M77" s="21">
        <f t="shared" si="20"/>
        <v>8.749486003676255</v>
      </c>
      <c r="N77" s="21">
        <f t="shared" si="21"/>
        <v>-5.802362870568345E-4</v>
      </c>
      <c r="O77" s="2">
        <f t="shared" si="22"/>
        <v>8.7504149251346295</v>
      </c>
      <c r="P77" s="2">
        <f t="shared" si="23"/>
        <v>-1.5091577454313665E-3</v>
      </c>
      <c r="Q77" s="2">
        <f t="shared" si="24"/>
        <v>8.7503527895808428</v>
      </c>
      <c r="R77" s="2">
        <f t="shared" si="25"/>
        <v>-1.4470221916447201E-3</v>
      </c>
      <c r="S77" s="2">
        <f t="shared" si="26"/>
        <v>8.7494980987343762</v>
      </c>
      <c r="T77" s="2">
        <f t="shared" si="27"/>
        <v>-5.9233134517810981E-4</v>
      </c>
      <c r="U77" s="21">
        <f t="shared" si="28"/>
        <v>8.7478036115423397</v>
      </c>
      <c r="V77" s="21">
        <f t="shared" si="29"/>
        <v>1.1021558468584658E-3</v>
      </c>
    </row>
    <row r="78" spans="1:22" x14ac:dyDescent="0.2">
      <c r="A78" s="8">
        <v>77</v>
      </c>
      <c r="B78">
        <v>0</v>
      </c>
      <c r="C78">
        <f t="shared" si="17"/>
        <v>273.14999999999998</v>
      </c>
      <c r="D78">
        <v>15</v>
      </c>
      <c r="E78" s="4">
        <f>F78-273.15</f>
        <v>0</v>
      </c>
      <c r="F78">
        <v>273.14999999999998</v>
      </c>
      <c r="G78">
        <v>15</v>
      </c>
      <c r="I78" s="2">
        <f t="shared" si="18"/>
        <v>9.0599168048038514</v>
      </c>
      <c r="J78" s="2">
        <v>9.0580365796079327</v>
      </c>
      <c r="K78" s="2">
        <v>9.0580365796079327</v>
      </c>
      <c r="L78" s="2">
        <f t="shared" si="19"/>
        <v>-1.8802251959186833E-3</v>
      </c>
      <c r="M78" s="21">
        <f t="shared" si="20"/>
        <v>9.056328718033452</v>
      </c>
      <c r="N78" s="21">
        <f t="shared" si="21"/>
        <v>1.7078615744807735E-3</v>
      </c>
      <c r="O78" s="2">
        <f t="shared" si="22"/>
        <v>9.0571901980002743</v>
      </c>
      <c r="P78" s="2">
        <f t="shared" si="23"/>
        <v>8.4638160765848625E-4</v>
      </c>
      <c r="Q78" s="2">
        <f t="shared" si="24"/>
        <v>9.0574052654138111</v>
      </c>
      <c r="R78" s="2">
        <f t="shared" si="25"/>
        <v>6.3131419412165712E-4</v>
      </c>
      <c r="S78" s="2">
        <f t="shared" si="26"/>
        <v>9.0585707655559347</v>
      </c>
      <c r="T78" s="2">
        <f t="shared" si="27"/>
        <v>-5.3418594800191954E-4</v>
      </c>
      <c r="U78" s="21">
        <f t="shared" si="28"/>
        <v>9.0576657383082928</v>
      </c>
      <c r="V78" s="21">
        <f t="shared" si="29"/>
        <v>3.7084129963993462E-4</v>
      </c>
    </row>
    <row r="79" spans="1:22" x14ac:dyDescent="0.2">
      <c r="A79" s="8">
        <v>78</v>
      </c>
      <c r="B79">
        <v>5</v>
      </c>
      <c r="C79">
        <f t="shared" si="17"/>
        <v>278.14999999999998</v>
      </c>
      <c r="D79">
        <v>15</v>
      </c>
      <c r="E79" s="4">
        <f t="shared" ref="E79:E83" si="31">F79-273.15</f>
        <v>5</v>
      </c>
      <c r="F79">
        <v>278.14999999999998</v>
      </c>
      <c r="G79">
        <v>15</v>
      </c>
      <c r="I79" s="2">
        <f t="shared" si="18"/>
        <v>8.9929610353340923</v>
      </c>
      <c r="J79" s="2">
        <v>8.9911986588430217</v>
      </c>
      <c r="K79" s="2">
        <v>8.9911986588430217</v>
      </c>
      <c r="L79" s="2">
        <f t="shared" si="19"/>
        <v>-1.762376491070583E-3</v>
      </c>
      <c r="M79" s="21">
        <f t="shared" si="20"/>
        <v>8.9903364432484825</v>
      </c>
      <c r="N79" s="21">
        <f t="shared" si="21"/>
        <v>8.6221559453925067E-4</v>
      </c>
      <c r="O79" s="2">
        <f t="shared" si="22"/>
        <v>8.9910837772589165</v>
      </c>
      <c r="P79" s="2">
        <f t="shared" si="23"/>
        <v>1.1488158410521976E-4</v>
      </c>
      <c r="Q79" s="2">
        <f t="shared" si="24"/>
        <v>8.9914110905913187</v>
      </c>
      <c r="R79" s="2">
        <f t="shared" si="25"/>
        <v>-2.1243174829699285E-4</v>
      </c>
      <c r="S79" s="2">
        <f t="shared" si="26"/>
        <v>8.9910712032196667</v>
      </c>
      <c r="T79" s="2">
        <f t="shared" si="27"/>
        <v>1.274556233550328E-4</v>
      </c>
      <c r="U79" s="21">
        <f t="shared" si="28"/>
        <v>8.9905563175054084</v>
      </c>
      <c r="V79" s="21">
        <f t="shared" si="29"/>
        <v>6.4234133761331691E-4</v>
      </c>
    </row>
    <row r="80" spans="1:22" x14ac:dyDescent="0.2">
      <c r="A80" s="8">
        <v>79</v>
      </c>
      <c r="B80">
        <v>10</v>
      </c>
      <c r="C80">
        <f t="shared" si="17"/>
        <v>283.14999999999998</v>
      </c>
      <c r="D80">
        <v>15</v>
      </c>
      <c r="E80" s="4">
        <f t="shared" si="31"/>
        <v>10</v>
      </c>
      <c r="F80">
        <v>283.14999999999998</v>
      </c>
      <c r="G80">
        <v>15</v>
      </c>
      <c r="I80" s="2">
        <f t="shared" si="18"/>
        <v>8.9298710728460069</v>
      </c>
      <c r="J80" s="2">
        <v>8.9279219528297187</v>
      </c>
      <c r="K80" s="2">
        <v>8.9279219528297187</v>
      </c>
      <c r="L80" s="2">
        <f t="shared" si="19"/>
        <v>-1.9491200162882194E-3</v>
      </c>
      <c r="M80" s="21">
        <f t="shared" si="20"/>
        <v>8.9275821896106127</v>
      </c>
      <c r="N80" s="21">
        <f t="shared" si="21"/>
        <v>3.3976321910600404E-4</v>
      </c>
      <c r="O80" s="2">
        <f t="shared" si="22"/>
        <v>8.9281968292322791</v>
      </c>
      <c r="P80" s="2">
        <f t="shared" si="23"/>
        <v>-2.7487640256040891E-4</v>
      </c>
      <c r="Q80" s="2">
        <f t="shared" si="24"/>
        <v>8.928587552995479</v>
      </c>
      <c r="R80" s="2">
        <f t="shared" si="25"/>
        <v>-6.6560016576033831E-4</v>
      </c>
      <c r="S80" s="2">
        <f t="shared" si="26"/>
        <v>8.9277197484345994</v>
      </c>
      <c r="T80" s="2">
        <f t="shared" si="27"/>
        <v>2.0220439511930977E-4</v>
      </c>
      <c r="U80" s="21">
        <f t="shared" si="28"/>
        <v>8.9274184655733677</v>
      </c>
      <c r="V80" s="21">
        <f t="shared" si="29"/>
        <v>5.0348725635096514E-4</v>
      </c>
    </row>
    <row r="81" spans="1:22" x14ac:dyDescent="0.2">
      <c r="A81" s="8">
        <v>80</v>
      </c>
      <c r="B81">
        <v>15</v>
      </c>
      <c r="C81">
        <f t="shared" si="17"/>
        <v>288.14999999999998</v>
      </c>
      <c r="D81">
        <v>15</v>
      </c>
      <c r="E81" s="4">
        <f t="shared" si="31"/>
        <v>15</v>
      </c>
      <c r="F81">
        <v>288.14999999999998</v>
      </c>
      <c r="G81">
        <v>15</v>
      </c>
      <c r="I81" s="2">
        <f t="shared" si="18"/>
        <v>8.8701459017562367</v>
      </c>
      <c r="J81" s="2">
        <v>8.8682498910162124</v>
      </c>
      <c r="K81" s="2">
        <v>8.8682498910162124</v>
      </c>
      <c r="L81" s="2">
        <f t="shared" si="19"/>
        <v>-1.8960107400243231E-3</v>
      </c>
      <c r="M81" s="21">
        <f t="shared" si="20"/>
        <v>8.8678417085804107</v>
      </c>
      <c r="N81" s="21">
        <f t="shared" si="21"/>
        <v>4.0818243580176272E-4</v>
      </c>
      <c r="O81" s="2">
        <f t="shared" si="22"/>
        <v>8.8683000043589786</v>
      </c>
      <c r="P81" s="2">
        <f t="shared" si="23"/>
        <v>-5.0113342766167079E-5</v>
      </c>
      <c r="Q81" s="2">
        <f t="shared" si="24"/>
        <v>8.8687073476743272</v>
      </c>
      <c r="R81" s="2">
        <f t="shared" si="25"/>
        <v>-4.5745665811480762E-4</v>
      </c>
      <c r="S81" s="2">
        <f t="shared" si="26"/>
        <v>8.8679597735911635</v>
      </c>
      <c r="T81" s="2">
        <f t="shared" si="27"/>
        <v>2.9011742504891913E-4</v>
      </c>
      <c r="U81" s="21">
        <f t="shared" si="28"/>
        <v>8.8677510014363321</v>
      </c>
      <c r="V81" s="21">
        <f t="shared" si="29"/>
        <v>4.9888957988031279E-4</v>
      </c>
    </row>
    <row r="82" spans="1:22" x14ac:dyDescent="0.2">
      <c r="A82" s="8">
        <v>81</v>
      </c>
      <c r="B82">
        <v>20</v>
      </c>
      <c r="C82">
        <f t="shared" si="17"/>
        <v>293.14999999999998</v>
      </c>
      <c r="D82">
        <v>15</v>
      </c>
      <c r="E82" s="4">
        <f t="shared" si="31"/>
        <v>20</v>
      </c>
      <c r="F82">
        <v>293.14999999999998</v>
      </c>
      <c r="G82">
        <v>15</v>
      </c>
      <c r="I82" s="2">
        <f t="shared" si="18"/>
        <v>8.813328915602666</v>
      </c>
      <c r="J82" s="2">
        <v>8.8115310316796478</v>
      </c>
      <c r="K82" s="2">
        <v>8.8115310316796478</v>
      </c>
      <c r="L82" s="2">
        <f t="shared" si="19"/>
        <v>-1.797883923018162E-3</v>
      </c>
      <c r="M82" s="21">
        <f t="shared" si="20"/>
        <v>8.8109079508342667</v>
      </c>
      <c r="N82" s="21">
        <f t="shared" si="21"/>
        <v>6.2308084538109654E-4</v>
      </c>
      <c r="O82" s="2">
        <f t="shared" si="22"/>
        <v>8.8111817072843106</v>
      </c>
      <c r="P82" s="2">
        <f t="shared" si="23"/>
        <v>3.4932439533719162E-4</v>
      </c>
      <c r="Q82" s="2">
        <f t="shared" si="24"/>
        <v>8.8115608013663564</v>
      </c>
      <c r="R82" s="2">
        <f t="shared" si="25"/>
        <v>-2.9769686708647214E-5</v>
      </c>
      <c r="S82" s="2">
        <f t="shared" si="26"/>
        <v>8.8112855503879715</v>
      </c>
      <c r="T82" s="2">
        <f t="shared" si="27"/>
        <v>2.4548129167634158E-4</v>
      </c>
      <c r="U82" s="21">
        <f t="shared" si="28"/>
        <v>8.8110980996989348</v>
      </c>
      <c r="V82" s="21">
        <f t="shared" si="29"/>
        <v>4.3293198071303607E-4</v>
      </c>
    </row>
    <row r="83" spans="1:22" x14ac:dyDescent="0.2">
      <c r="A83" s="8">
        <v>82</v>
      </c>
      <c r="B83">
        <v>25</v>
      </c>
      <c r="C83">
        <f t="shared" si="17"/>
        <v>298.14999999999998</v>
      </c>
      <c r="D83">
        <v>15</v>
      </c>
      <c r="E83" s="4">
        <f t="shared" si="31"/>
        <v>25</v>
      </c>
      <c r="F83">
        <v>298.14999999999998</v>
      </c>
      <c r="G83">
        <v>15</v>
      </c>
      <c r="I83" s="2">
        <f t="shared" si="18"/>
        <v>8.7590036786661134</v>
      </c>
      <c r="J83" s="2">
        <v>8.7573310803381208</v>
      </c>
      <c r="K83" s="2">
        <v>8.7573310803381208</v>
      </c>
      <c r="L83" s="2">
        <f t="shared" si="19"/>
        <v>-1.6725983279926027E-3</v>
      </c>
      <c r="M83" s="21">
        <f t="shared" si="20"/>
        <v>8.7565895284954998</v>
      </c>
      <c r="N83" s="21">
        <f t="shared" si="21"/>
        <v>7.4155184262103546E-4</v>
      </c>
      <c r="O83" s="2">
        <f t="shared" si="22"/>
        <v>8.7566465021400202</v>
      </c>
      <c r="P83" s="2">
        <f t="shared" si="23"/>
        <v>6.8457819810063825E-4</v>
      </c>
      <c r="Q83" s="2">
        <f t="shared" si="24"/>
        <v>8.7569542871992141</v>
      </c>
      <c r="R83" s="2">
        <f t="shared" si="25"/>
        <v>3.7679313890670585E-4</v>
      </c>
      <c r="S83" s="2">
        <f t="shared" si="26"/>
        <v>8.7572372815958115</v>
      </c>
      <c r="T83" s="2">
        <f t="shared" si="27"/>
        <v>9.3798742309303407E-5</v>
      </c>
      <c r="U83" s="21">
        <f t="shared" si="28"/>
        <v>8.7570448828730409</v>
      </c>
      <c r="V83" s="21">
        <f t="shared" si="29"/>
        <v>2.8619746507985155E-4</v>
      </c>
    </row>
    <row r="84" spans="1:22" x14ac:dyDescent="0.2">
      <c r="A84" s="8">
        <v>83</v>
      </c>
      <c r="B84">
        <v>30</v>
      </c>
      <c r="C84">
        <f t="shared" si="17"/>
        <v>303.14999999999998</v>
      </c>
      <c r="D84">
        <v>15</v>
      </c>
      <c r="E84" s="4">
        <f>F84-273.15</f>
        <v>30</v>
      </c>
      <c r="F84">
        <v>303.14999999999998</v>
      </c>
      <c r="G84">
        <v>15</v>
      </c>
      <c r="I84" s="2">
        <f t="shared" si="18"/>
        <v>8.7067901409868238</v>
      </c>
      <c r="J84" s="2">
        <v>8.7052591719579215</v>
      </c>
      <c r="K84" s="2">
        <v>8.7052591719579215</v>
      </c>
      <c r="L84" s="2">
        <f t="shared" si="19"/>
        <v>-1.5309690289022626E-3</v>
      </c>
      <c r="M84" s="21">
        <f t="shared" si="20"/>
        <v>8.7047093358536465</v>
      </c>
      <c r="N84" s="21">
        <f t="shared" si="21"/>
        <v>5.498361042750588E-4</v>
      </c>
      <c r="O84" s="2">
        <f t="shared" si="22"/>
        <v>8.7045136826355769</v>
      </c>
      <c r="P84" s="2">
        <f t="shared" si="23"/>
        <v>7.4548932234463905E-4</v>
      </c>
      <c r="Q84" s="2">
        <f t="shared" si="24"/>
        <v>8.7047088033239017</v>
      </c>
      <c r="R84" s="2">
        <f t="shared" si="25"/>
        <v>5.503686340198044E-4</v>
      </c>
      <c r="S84" s="2">
        <f t="shared" si="26"/>
        <v>8.7053966733802781</v>
      </c>
      <c r="T84" s="2">
        <f t="shared" si="27"/>
        <v>-1.3750142235657847E-4</v>
      </c>
      <c r="U84" s="21">
        <f t="shared" si="28"/>
        <v>8.7052134920124526</v>
      </c>
      <c r="V84" s="21">
        <f t="shared" si="29"/>
        <v>4.5679945468890537E-5</v>
      </c>
    </row>
    <row r="85" spans="1:22" x14ac:dyDescent="0.2">
      <c r="A85" s="8">
        <v>84</v>
      </c>
      <c r="B85">
        <v>35</v>
      </c>
      <c r="C85">
        <f t="shared" si="17"/>
        <v>308.14999999999998</v>
      </c>
      <c r="D85">
        <v>15</v>
      </c>
      <c r="E85" s="4">
        <f>F85-273.15</f>
        <v>35</v>
      </c>
      <c r="F85">
        <v>308.14999999999998</v>
      </c>
      <c r="G85">
        <v>15</v>
      </c>
      <c r="I85" s="2">
        <f t="shared" si="18"/>
        <v>8.6563412525246015</v>
      </c>
      <c r="J85" s="2">
        <v>8.6547507237125743</v>
      </c>
      <c r="K85" s="2">
        <v>8.6547507237125743</v>
      </c>
      <c r="L85" s="2">
        <f t="shared" si="19"/>
        <v>-1.5905288120272587E-3</v>
      </c>
      <c r="M85" s="21">
        <f t="shared" si="20"/>
        <v>8.6551033100586672</v>
      </c>
      <c r="N85" s="21">
        <f t="shared" si="21"/>
        <v>-3.5258634609292017E-4</v>
      </c>
      <c r="O85" s="2">
        <f t="shared" si="22"/>
        <v>8.6546159876735036</v>
      </c>
      <c r="P85" s="2">
        <f t="shared" si="23"/>
        <v>1.3473603907065979E-4</v>
      </c>
      <c r="Q85" s="2">
        <f t="shared" si="24"/>
        <v>8.6546586962924561</v>
      </c>
      <c r="R85" s="2">
        <f t="shared" si="25"/>
        <v>9.2027420118157011E-5</v>
      </c>
      <c r="S85" s="2">
        <f t="shared" si="26"/>
        <v>8.6553829826362225</v>
      </c>
      <c r="T85" s="2">
        <f t="shared" si="27"/>
        <v>-6.3225892364826564E-4</v>
      </c>
      <c r="U85" s="21">
        <f t="shared" si="28"/>
        <v>8.6552595778342205</v>
      </c>
      <c r="V85" s="21">
        <f t="shared" si="29"/>
        <v>-5.0885412164625166E-4</v>
      </c>
    </row>
    <row r="86" spans="1:22" x14ac:dyDescent="0.2">
      <c r="A86" s="8">
        <v>85</v>
      </c>
      <c r="B86">
        <v>40</v>
      </c>
      <c r="C86">
        <f t="shared" si="17"/>
        <v>313.14999999999998</v>
      </c>
      <c r="D86">
        <v>15</v>
      </c>
      <c r="E86" s="4">
        <f>F86-273.15</f>
        <v>40</v>
      </c>
      <c r="F86">
        <v>313.14999999999998</v>
      </c>
      <c r="G86">
        <v>15</v>
      </c>
      <c r="I86" s="2">
        <f t="shared" si="18"/>
        <v>8.6073399294020199</v>
      </c>
      <c r="J86" s="2">
        <v>8.6058925944984566</v>
      </c>
      <c r="K86" s="2">
        <v>8.6058925944984566</v>
      </c>
      <c r="L86" s="2">
        <f t="shared" si="19"/>
        <v>-1.4473349035633021E-3</v>
      </c>
      <c r="M86" s="21">
        <f t="shared" si="20"/>
        <v>8.6076193156906733</v>
      </c>
      <c r="N86" s="21">
        <f t="shared" si="21"/>
        <v>-1.7267211922167292E-3</v>
      </c>
      <c r="O86" s="2">
        <f t="shared" si="22"/>
        <v>8.6067984457198516</v>
      </c>
      <c r="P86" s="2">
        <f t="shared" si="23"/>
        <v>-9.0585122139508201E-4</v>
      </c>
      <c r="Q86" s="2">
        <f t="shared" si="24"/>
        <v>8.6066505124929353</v>
      </c>
      <c r="R86" s="2">
        <f t="shared" si="25"/>
        <v>-7.5791799447877395E-4</v>
      </c>
      <c r="S86" s="2">
        <f t="shared" si="26"/>
        <v>8.6068494825684869</v>
      </c>
      <c r="T86" s="2">
        <f t="shared" si="27"/>
        <v>-9.5688807003035947E-4</v>
      </c>
      <c r="U86" s="21">
        <f t="shared" si="28"/>
        <v>8.6068691621597306</v>
      </c>
      <c r="V86" s="21">
        <f t="shared" si="29"/>
        <v>-9.7656766127407479E-4</v>
      </c>
    </row>
    <row r="87" spans="1:22" x14ac:dyDescent="0.2">
      <c r="A87" s="8">
        <v>86</v>
      </c>
      <c r="B87">
        <v>45</v>
      </c>
      <c r="C87">
        <f t="shared" si="17"/>
        <v>318.14999999999998</v>
      </c>
      <c r="D87">
        <v>15</v>
      </c>
      <c r="E87" s="4">
        <f>F87-273.15</f>
        <v>45</v>
      </c>
      <c r="F87">
        <v>318.14999999999998</v>
      </c>
      <c r="G87">
        <v>15</v>
      </c>
      <c r="I87" s="2">
        <f t="shared" si="18"/>
        <v>8.559496331319167</v>
      </c>
      <c r="J87" s="2">
        <v>8.5579899131445298</v>
      </c>
      <c r="K87" s="2">
        <v>8.5579899131445298</v>
      </c>
      <c r="L87" s="2">
        <f t="shared" si="19"/>
        <v>-1.5064181746371474E-3</v>
      </c>
      <c r="M87" s="21">
        <f t="shared" si="20"/>
        <v>8.5621161391726091</v>
      </c>
      <c r="N87" s="21">
        <f t="shared" si="21"/>
        <v>-4.1262260280792162E-3</v>
      </c>
      <c r="O87" s="2">
        <f t="shared" si="22"/>
        <v>8.5609173333161905</v>
      </c>
      <c r="P87" s="2">
        <f t="shared" si="23"/>
        <v>-2.9274201716606996E-3</v>
      </c>
      <c r="Q87" s="2">
        <f t="shared" si="24"/>
        <v>8.5605419631016204</v>
      </c>
      <c r="R87" s="2">
        <f t="shared" si="25"/>
        <v>-2.5520499570905741E-3</v>
      </c>
      <c r="S87" s="2">
        <f t="shared" si="26"/>
        <v>8.5594802972527226</v>
      </c>
      <c r="T87" s="2">
        <f t="shared" si="27"/>
        <v>-1.4903841081927993E-3</v>
      </c>
      <c r="U87" s="21">
        <f t="shared" si="28"/>
        <v>8.5597558261272013</v>
      </c>
      <c r="V87" s="21">
        <f t="shared" si="29"/>
        <v>-1.7659129826714803E-3</v>
      </c>
    </row>
    <row r="88" spans="1:22" x14ac:dyDescent="0.2">
      <c r="A88" s="8">
        <v>87</v>
      </c>
      <c r="B88">
        <v>0</v>
      </c>
      <c r="C88">
        <f t="shared" si="17"/>
        <v>273.14999999999998</v>
      </c>
      <c r="D88">
        <v>25</v>
      </c>
      <c r="E88" s="4">
        <f>F88-273.15</f>
        <v>0</v>
      </c>
      <c r="F88">
        <v>273.14999999999998</v>
      </c>
      <c r="G88">
        <v>25</v>
      </c>
      <c r="I88" s="2">
        <f t="shared" si="18"/>
        <v>8.9735918682374578</v>
      </c>
      <c r="J88" s="2">
        <v>8.9755640574945055</v>
      </c>
      <c r="K88" s="2">
        <v>8.9755640574945055</v>
      </c>
      <c r="L88" s="2">
        <f t="shared" si="19"/>
        <v>1.972189257047674E-3</v>
      </c>
      <c r="M88" s="21">
        <f t="shared" si="20"/>
        <v>8.9707213273913524</v>
      </c>
      <c r="N88" s="21">
        <f t="shared" si="21"/>
        <v>4.842730103153059E-3</v>
      </c>
      <c r="O88" s="2">
        <f t="shared" si="22"/>
        <v>8.971115474201202</v>
      </c>
      <c r="P88" s="2">
        <f t="shared" si="23"/>
        <v>4.448583293303443E-3</v>
      </c>
      <c r="Q88" s="2">
        <f t="shared" si="24"/>
        <v>8.9712812837202272</v>
      </c>
      <c r="R88" s="2">
        <f t="shared" si="25"/>
        <v>4.2827737742783256E-3</v>
      </c>
      <c r="S88" s="2">
        <f t="shared" si="26"/>
        <v>8.9728647815895695</v>
      </c>
      <c r="T88" s="2">
        <f t="shared" si="27"/>
        <v>2.699275904936016E-3</v>
      </c>
      <c r="U88" s="21">
        <f t="shared" si="28"/>
        <v>8.9723253912199077</v>
      </c>
      <c r="V88" s="21">
        <f t="shared" si="29"/>
        <v>3.2386662745977901E-3</v>
      </c>
    </row>
    <row r="89" spans="1:22" x14ac:dyDescent="0.2">
      <c r="A89" s="8">
        <v>88</v>
      </c>
      <c r="B89">
        <v>5</v>
      </c>
      <c r="C89">
        <f t="shared" si="17"/>
        <v>278.14999999999998</v>
      </c>
      <c r="D89">
        <v>25</v>
      </c>
      <c r="E89" s="4">
        <f t="shared" ref="E89:E93" si="32">F89-273.15</f>
        <v>5</v>
      </c>
      <c r="F89">
        <v>278.14999999999998</v>
      </c>
      <c r="G89">
        <v>25</v>
      </c>
      <c r="I89" s="2">
        <f t="shared" si="18"/>
        <v>8.9056617645169247</v>
      </c>
      <c r="J89" s="2">
        <v>8.9075969710766447</v>
      </c>
      <c r="K89" s="2">
        <v>8.9075969710766447</v>
      </c>
      <c r="L89" s="2">
        <f t="shared" si="19"/>
        <v>1.9352065597200152E-3</v>
      </c>
      <c r="M89" s="21">
        <f t="shared" si="20"/>
        <v>8.9041986793853809</v>
      </c>
      <c r="N89" s="21">
        <f t="shared" si="21"/>
        <v>3.3982916912638217E-3</v>
      </c>
      <c r="O89" s="2">
        <f t="shared" si="22"/>
        <v>8.9046804976565088</v>
      </c>
      <c r="P89" s="2">
        <f t="shared" si="23"/>
        <v>2.9164734201359011E-3</v>
      </c>
      <c r="Q89" s="2">
        <f t="shared" si="24"/>
        <v>8.9049969032019565</v>
      </c>
      <c r="R89" s="2">
        <f t="shared" si="25"/>
        <v>2.60006787468825E-3</v>
      </c>
      <c r="S89" s="2">
        <f t="shared" si="26"/>
        <v>8.9046089437310894</v>
      </c>
      <c r="T89" s="2">
        <f t="shared" si="27"/>
        <v>2.9880273455553663E-3</v>
      </c>
      <c r="U89" s="21">
        <f t="shared" si="28"/>
        <v>8.9042819276979266</v>
      </c>
      <c r="V89" s="21">
        <f t="shared" si="29"/>
        <v>3.3150433787181299E-3</v>
      </c>
    </row>
    <row r="90" spans="1:22" x14ac:dyDescent="0.2">
      <c r="A90" s="8">
        <v>89</v>
      </c>
      <c r="B90">
        <v>10</v>
      </c>
      <c r="C90">
        <f t="shared" si="17"/>
        <v>283.14999999999998</v>
      </c>
      <c r="D90">
        <v>25</v>
      </c>
      <c r="E90" s="4">
        <f t="shared" si="32"/>
        <v>10</v>
      </c>
      <c r="F90">
        <v>283.14999999999998</v>
      </c>
      <c r="G90">
        <v>25</v>
      </c>
      <c r="I90" s="2">
        <f t="shared" si="18"/>
        <v>8.8412806452139865</v>
      </c>
      <c r="J90" s="2">
        <v>8.842930522721252</v>
      </c>
      <c r="K90" s="2">
        <v>8.842930522721252</v>
      </c>
      <c r="L90" s="2">
        <f t="shared" si="19"/>
        <v>1.6498775072655292E-3</v>
      </c>
      <c r="M90" s="21">
        <f t="shared" si="20"/>
        <v>8.8403738716699145</v>
      </c>
      <c r="N90" s="21">
        <f t="shared" si="21"/>
        <v>2.5566510513375107E-3</v>
      </c>
      <c r="O90" s="2">
        <f t="shared" si="22"/>
        <v>8.8408257585794363</v>
      </c>
      <c r="P90" s="2">
        <f t="shared" si="23"/>
        <v>2.104764141815707E-3</v>
      </c>
      <c r="Q90" s="2">
        <f t="shared" si="24"/>
        <v>8.8412243578469134</v>
      </c>
      <c r="R90" s="2">
        <f t="shared" si="25"/>
        <v>1.7061648743386115E-3</v>
      </c>
      <c r="S90" s="2">
        <f t="shared" si="26"/>
        <v>8.8401379446205528</v>
      </c>
      <c r="T90" s="2">
        <f t="shared" si="27"/>
        <v>2.7925781006992167E-3</v>
      </c>
      <c r="U90" s="21">
        <f t="shared" si="28"/>
        <v>8.8399084216414945</v>
      </c>
      <c r="V90" s="21">
        <f t="shared" si="29"/>
        <v>3.0221010797575332E-3</v>
      </c>
    </row>
    <row r="91" spans="1:22" x14ac:dyDescent="0.2">
      <c r="A91" s="8">
        <v>90</v>
      </c>
      <c r="B91">
        <v>15</v>
      </c>
      <c r="C91">
        <f t="shared" si="17"/>
        <v>288.14999999999998</v>
      </c>
      <c r="D91">
        <v>25</v>
      </c>
      <c r="E91" s="4">
        <f t="shared" si="32"/>
        <v>15</v>
      </c>
      <c r="F91">
        <v>288.14999999999998</v>
      </c>
      <c r="G91">
        <v>25</v>
      </c>
      <c r="I91" s="2">
        <f t="shared" si="18"/>
        <v>8.7798904299052101</v>
      </c>
      <c r="J91" s="2">
        <v>8.7819555774620355</v>
      </c>
      <c r="K91" s="2">
        <v>8.7819555774620355</v>
      </c>
      <c r="L91" s="2">
        <f t="shared" si="19"/>
        <v>2.0651475568254085E-3</v>
      </c>
      <c r="M91" s="21">
        <f t="shared" si="20"/>
        <v>8.7790491772911459</v>
      </c>
      <c r="N91" s="21">
        <f t="shared" si="21"/>
        <v>2.9064001708896114E-3</v>
      </c>
      <c r="O91" s="2">
        <f t="shared" si="22"/>
        <v>8.7793532938870769</v>
      </c>
      <c r="P91" s="2">
        <f t="shared" si="23"/>
        <v>2.6022835749586193E-3</v>
      </c>
      <c r="Q91" s="2">
        <f t="shared" si="24"/>
        <v>8.7797686900407772</v>
      </c>
      <c r="R91" s="2">
        <f t="shared" si="25"/>
        <v>2.1868874212582767E-3</v>
      </c>
      <c r="S91" s="2">
        <f t="shared" si="26"/>
        <v>8.7788309197880565</v>
      </c>
      <c r="T91" s="2">
        <f t="shared" si="27"/>
        <v>3.1246576739789589E-3</v>
      </c>
      <c r="U91" s="21">
        <f t="shared" si="28"/>
        <v>8.7786479272455065</v>
      </c>
      <c r="V91" s="21">
        <f t="shared" si="29"/>
        <v>3.3076502165290123E-3</v>
      </c>
    </row>
    <row r="92" spans="1:22" x14ac:dyDescent="0.2">
      <c r="A92" s="8">
        <v>91</v>
      </c>
      <c r="B92">
        <v>20</v>
      </c>
      <c r="C92">
        <f t="shared" si="17"/>
        <v>293.14999999999998</v>
      </c>
      <c r="D92">
        <v>25</v>
      </c>
      <c r="E92" s="4">
        <f t="shared" si="32"/>
        <v>20</v>
      </c>
      <c r="F92">
        <v>293.14999999999998</v>
      </c>
      <c r="G92">
        <v>25</v>
      </c>
      <c r="I92" s="2">
        <f t="shared" si="18"/>
        <v>8.720983850099234</v>
      </c>
      <c r="J92" s="2">
        <v>8.7231955340605261</v>
      </c>
      <c r="K92" s="2">
        <v>8.7231955340605261</v>
      </c>
      <c r="L92" s="2">
        <f t="shared" si="19"/>
        <v>2.2116839612920103E-3</v>
      </c>
      <c r="M92" s="21">
        <f t="shared" si="20"/>
        <v>8.7200423136163625</v>
      </c>
      <c r="N92" s="21">
        <f t="shared" si="21"/>
        <v>3.1532204441635514E-3</v>
      </c>
      <c r="O92" s="2">
        <f t="shared" si="22"/>
        <v>8.7200808178491922</v>
      </c>
      <c r="P92" s="2">
        <f t="shared" si="23"/>
        <v>3.1147162113338567E-3</v>
      </c>
      <c r="Q92" s="2">
        <f t="shared" si="24"/>
        <v>8.7204504334207087</v>
      </c>
      <c r="R92" s="2">
        <f t="shared" si="25"/>
        <v>2.7451006398173661E-3</v>
      </c>
      <c r="S92" s="2">
        <f t="shared" si="26"/>
        <v>8.7201255016973533</v>
      </c>
      <c r="T92" s="2">
        <f t="shared" si="27"/>
        <v>3.0700323631727144E-3</v>
      </c>
      <c r="U92" s="21">
        <f t="shared" si="28"/>
        <v>8.7199954222990517</v>
      </c>
      <c r="V92" s="21">
        <f t="shared" si="29"/>
        <v>3.200111761474389E-3</v>
      </c>
    </row>
    <row r="93" spans="1:22" x14ac:dyDescent="0.2">
      <c r="A93" s="8">
        <v>92</v>
      </c>
      <c r="B93">
        <v>25</v>
      </c>
      <c r="C93">
        <f t="shared" si="17"/>
        <v>298.14999999999998</v>
      </c>
      <c r="D93">
        <v>25</v>
      </c>
      <c r="E93" s="4">
        <f t="shared" si="32"/>
        <v>25</v>
      </c>
      <c r="F93">
        <v>298.14999999999998</v>
      </c>
      <c r="G93">
        <v>25</v>
      </c>
      <c r="I93" s="2">
        <f t="shared" si="18"/>
        <v>8.6640995476956331</v>
      </c>
      <c r="J93" s="2">
        <v>8.6665635336203408</v>
      </c>
      <c r="K93" s="2">
        <v>8.6665635336203408</v>
      </c>
      <c r="L93" s="2">
        <f t="shared" si="19"/>
        <v>2.4639859247077567E-3</v>
      </c>
      <c r="M93" s="21">
        <f t="shared" si="20"/>
        <v>8.6631850489699946</v>
      </c>
      <c r="N93" s="21">
        <f t="shared" si="21"/>
        <v>3.3784846503461807E-3</v>
      </c>
      <c r="O93" s="2">
        <f t="shared" si="22"/>
        <v>8.662840298268863</v>
      </c>
      <c r="P93" s="2">
        <f t="shared" si="23"/>
        <v>3.7232353514777827E-3</v>
      </c>
      <c r="Q93" s="2">
        <f t="shared" si="24"/>
        <v>8.6631042037073982</v>
      </c>
      <c r="R93" s="2">
        <f t="shared" si="25"/>
        <v>3.4593299129426214E-3</v>
      </c>
      <c r="S93" s="2">
        <f t="shared" si="26"/>
        <v>8.6635120381153747</v>
      </c>
      <c r="T93" s="2">
        <f t="shared" si="27"/>
        <v>3.0514955049660841E-3</v>
      </c>
      <c r="U93" s="21">
        <f t="shared" si="28"/>
        <v>8.6634926981324547</v>
      </c>
      <c r="V93" s="21">
        <f t="shared" si="29"/>
        <v>3.0708354878861144E-3</v>
      </c>
    </row>
    <row r="94" spans="1:22" x14ac:dyDescent="0.2">
      <c r="A94" s="8">
        <v>93</v>
      </c>
      <c r="B94">
        <v>30</v>
      </c>
      <c r="C94">
        <f t="shared" si="17"/>
        <v>303.14999999999998</v>
      </c>
      <c r="D94">
        <v>25</v>
      </c>
      <c r="E94" s="4">
        <f>F94-273.15</f>
        <v>30</v>
      </c>
      <c r="F94">
        <v>303.14999999999998</v>
      </c>
      <c r="G94">
        <v>25</v>
      </c>
      <c r="I94" s="2">
        <f t="shared" si="18"/>
        <v>8.6088177008010778</v>
      </c>
      <c r="J94" s="2">
        <v>8.6112344166258676</v>
      </c>
      <c r="K94" s="2">
        <v>8.6112344166258676</v>
      </c>
      <c r="L94" s="2">
        <f t="shared" si="19"/>
        <v>2.4167158247898612E-3</v>
      </c>
      <c r="M94" s="21">
        <f t="shared" si="20"/>
        <v>8.6083219536483355</v>
      </c>
      <c r="N94" s="21">
        <f t="shared" si="21"/>
        <v>2.9124629775321154E-3</v>
      </c>
      <c r="O94" s="2">
        <f t="shared" si="22"/>
        <v>8.6074766807761396</v>
      </c>
      <c r="P94" s="2">
        <f t="shared" si="23"/>
        <v>3.75773584972805E-3</v>
      </c>
      <c r="Q94" s="2">
        <f t="shared" si="24"/>
        <v>8.6075774362629911</v>
      </c>
      <c r="R94" s="2">
        <f t="shared" si="25"/>
        <v>3.6569803628765385E-3</v>
      </c>
      <c r="S94" s="2">
        <f t="shared" si="26"/>
        <v>8.6085284439535847</v>
      </c>
      <c r="T94" s="2">
        <f t="shared" si="27"/>
        <v>2.705972672282897E-3</v>
      </c>
      <c r="U94" s="21">
        <f t="shared" si="28"/>
        <v>8.6087238081445641</v>
      </c>
      <c r="V94" s="21">
        <f t="shared" si="29"/>
        <v>2.5106084813035778E-3</v>
      </c>
    </row>
    <row r="95" spans="1:22" x14ac:dyDescent="0.2">
      <c r="A95" s="8">
        <v>94</v>
      </c>
      <c r="B95">
        <v>35</v>
      </c>
      <c r="C95">
        <f t="shared" si="17"/>
        <v>308.14999999999998</v>
      </c>
      <c r="D95">
        <v>25</v>
      </c>
      <c r="E95" s="4">
        <f>F95-273.15</f>
        <v>35</v>
      </c>
      <c r="F95">
        <v>308.14999999999998</v>
      </c>
      <c r="G95">
        <v>25</v>
      </c>
      <c r="I95" s="2">
        <f t="shared" si="18"/>
        <v>8.5547561135718428</v>
      </c>
      <c r="J95" s="2">
        <v>8.5572516125252918</v>
      </c>
      <c r="K95" s="2">
        <v>8.5572516125252918</v>
      </c>
      <c r="L95" s="2">
        <f t="shared" si="19"/>
        <v>2.4954989534489158E-3</v>
      </c>
      <c r="M95" s="21">
        <f t="shared" si="20"/>
        <v>8.555309278387794</v>
      </c>
      <c r="N95" s="21">
        <f t="shared" si="21"/>
        <v>1.9423341374977809E-3</v>
      </c>
      <c r="O95" s="2">
        <f t="shared" si="22"/>
        <v>8.5538467438266821</v>
      </c>
      <c r="P95" s="2">
        <f t="shared" si="23"/>
        <v>3.4048686986096754E-3</v>
      </c>
      <c r="Q95" s="2">
        <f t="shared" si="24"/>
        <v>8.5537292531195259</v>
      </c>
      <c r="R95" s="2">
        <f t="shared" si="25"/>
        <v>3.5223594057658403E-3</v>
      </c>
      <c r="S95" s="2">
        <f t="shared" si="26"/>
        <v>8.5547556094160502</v>
      </c>
      <c r="T95" s="2">
        <f t="shared" si="27"/>
        <v>2.4960031092415846E-3</v>
      </c>
      <c r="U95" s="21">
        <f t="shared" si="28"/>
        <v>8.5553110069688216</v>
      </c>
      <c r="V95" s="21">
        <f t="shared" si="29"/>
        <v>1.9406055564701319E-3</v>
      </c>
    </row>
    <row r="96" spans="1:22" x14ac:dyDescent="0.2">
      <c r="A96" s="8">
        <v>95</v>
      </c>
      <c r="B96">
        <v>40</v>
      </c>
      <c r="C96">
        <f t="shared" si="17"/>
        <v>313.14999999999998</v>
      </c>
      <c r="D96">
        <v>25</v>
      </c>
      <c r="E96" s="4">
        <f>F96-273.15</f>
        <v>40</v>
      </c>
      <c r="F96">
        <v>313.14999999999998</v>
      </c>
      <c r="G96">
        <v>25</v>
      </c>
      <c r="I96" s="2">
        <f t="shared" si="18"/>
        <v>8.501566715170636</v>
      </c>
      <c r="J96" s="2">
        <v>8.5040939679403351</v>
      </c>
      <c r="K96" s="2">
        <v>8.5040939679403351</v>
      </c>
      <c r="L96" s="2">
        <f t="shared" si="19"/>
        <v>2.5272527696991176E-3</v>
      </c>
      <c r="M96" s="21">
        <f t="shared" si="20"/>
        <v>8.5040139455734618</v>
      </c>
      <c r="N96" s="21">
        <f t="shared" si="21"/>
        <v>8.0022366873322426E-5</v>
      </c>
      <c r="O96" s="2">
        <f t="shared" si="22"/>
        <v>8.5018180692771175</v>
      </c>
      <c r="P96" s="2">
        <f t="shared" si="23"/>
        <v>2.2758986632176459E-3</v>
      </c>
      <c r="Q96" s="2">
        <f t="shared" si="24"/>
        <v>8.5014294444828966</v>
      </c>
      <c r="R96" s="2">
        <f t="shared" si="25"/>
        <v>2.6645234574385057E-3</v>
      </c>
      <c r="S96" s="2">
        <f t="shared" si="26"/>
        <v>8.501813297668976</v>
      </c>
      <c r="T96" s="2">
        <f t="shared" si="27"/>
        <v>2.280670271359142E-3</v>
      </c>
      <c r="U96" s="21">
        <f t="shared" si="28"/>
        <v>8.5029111214662638</v>
      </c>
      <c r="V96" s="21">
        <f t="shared" si="29"/>
        <v>1.1828464740712974E-3</v>
      </c>
    </row>
    <row r="97" spans="1:22" x14ac:dyDescent="0.2">
      <c r="A97" s="8">
        <v>96</v>
      </c>
      <c r="B97">
        <v>45</v>
      </c>
      <c r="C97">
        <f t="shared" si="17"/>
        <v>318.14999999999998</v>
      </c>
      <c r="D97">
        <v>25</v>
      </c>
      <c r="E97" s="4">
        <f>F97-273.15</f>
        <v>45</v>
      </c>
      <c r="F97">
        <v>318.14999999999998</v>
      </c>
      <c r="G97">
        <v>25</v>
      </c>
      <c r="I97" s="2">
        <f t="shared" si="18"/>
        <v>8.4489324201177052</v>
      </c>
      <c r="J97" s="2">
        <v>8.4514140472854695</v>
      </c>
      <c r="K97" s="2">
        <v>8.4514140472854695</v>
      </c>
      <c r="L97" s="2">
        <f t="shared" si="19"/>
        <v>2.4816271677643442E-3</v>
      </c>
      <c r="M97" s="21">
        <f t="shared" si="20"/>
        <v>8.4543126403690874</v>
      </c>
      <c r="N97" s="21">
        <f t="shared" si="21"/>
        <v>-2.8985930836178397E-3</v>
      </c>
      <c r="O97" s="2">
        <f t="shared" si="22"/>
        <v>8.451268115359813</v>
      </c>
      <c r="P97" s="2">
        <f t="shared" si="23"/>
        <v>1.4593192565648394E-4</v>
      </c>
      <c r="Q97" s="2">
        <f t="shared" si="24"/>
        <v>8.4505575516522722</v>
      </c>
      <c r="R97" s="2">
        <f t="shared" si="25"/>
        <v>8.5649563319734057E-4</v>
      </c>
      <c r="S97" s="2">
        <f t="shared" si="26"/>
        <v>8.4493564740903739</v>
      </c>
      <c r="T97" s="2">
        <f t="shared" si="27"/>
        <v>2.0575731950955856E-3</v>
      </c>
      <c r="U97" s="21">
        <f t="shared" si="28"/>
        <v>8.4512123025137544</v>
      </c>
      <c r="V97" s="21">
        <f t="shared" si="29"/>
        <v>2.0174477171508443E-4</v>
      </c>
    </row>
    <row r="98" spans="1:22" x14ac:dyDescent="0.2">
      <c r="A98" s="8">
        <v>97</v>
      </c>
      <c r="B98">
        <v>0</v>
      </c>
      <c r="C98">
        <f t="shared" si="17"/>
        <v>273.14999999999998</v>
      </c>
      <c r="D98">
        <v>35</v>
      </c>
      <c r="E98" s="4">
        <f>F98-273.15</f>
        <v>0</v>
      </c>
      <c r="F98">
        <v>273.14999999999998</v>
      </c>
      <c r="G98">
        <v>35</v>
      </c>
      <c r="I98" s="2">
        <f t="shared" si="18"/>
        <v>8.9130441557406304</v>
      </c>
      <c r="J98" s="2">
        <v>8.9108107502427316</v>
      </c>
      <c r="K98" s="2">
        <v>8.9108107502427316</v>
      </c>
      <c r="L98" s="2">
        <f t="shared" si="19"/>
        <v>-2.2334054978987439E-3</v>
      </c>
      <c r="M98" s="21">
        <f t="shared" si="20"/>
        <v>8.9114840982862589</v>
      </c>
      <c r="N98" s="21">
        <f t="shared" si="21"/>
        <v>-6.7334804352725541E-4</v>
      </c>
      <c r="O98" s="2">
        <f t="shared" si="22"/>
        <v>8.9112913019404321</v>
      </c>
      <c r="P98" s="2">
        <f t="shared" si="23"/>
        <v>-4.805516977004487E-4</v>
      </c>
      <c r="Q98" s="2">
        <f t="shared" si="24"/>
        <v>8.911351366491191</v>
      </c>
      <c r="R98" s="2">
        <f t="shared" si="25"/>
        <v>-5.4061624845935796E-4</v>
      </c>
      <c r="S98" s="2">
        <f t="shared" si="26"/>
        <v>8.9132727054635144</v>
      </c>
      <c r="T98" s="2">
        <f t="shared" si="27"/>
        <v>-2.4619552207827411E-3</v>
      </c>
      <c r="U98" s="21">
        <f t="shared" si="28"/>
        <v>8.9131518644672241</v>
      </c>
      <c r="V98" s="21">
        <f t="shared" si="29"/>
        <v>-2.3411142244924577E-3</v>
      </c>
    </row>
    <row r="99" spans="1:22" x14ac:dyDescent="0.2">
      <c r="A99" s="8">
        <v>98</v>
      </c>
      <c r="B99">
        <v>5</v>
      </c>
      <c r="C99">
        <f t="shared" si="17"/>
        <v>278.14999999999998</v>
      </c>
      <c r="D99">
        <v>35</v>
      </c>
      <c r="E99" s="4">
        <f t="shared" ref="E99:E103" si="33">F99-273.15</f>
        <v>5</v>
      </c>
      <c r="F99">
        <v>278.14999999999998</v>
      </c>
      <c r="G99">
        <v>35</v>
      </c>
      <c r="I99" s="2">
        <f t="shared" si="18"/>
        <v>8.8443851191392486</v>
      </c>
      <c r="J99" s="2">
        <v>8.8418013570683041</v>
      </c>
      <c r="K99" s="2">
        <v>8.8418013570683041</v>
      </c>
      <c r="L99" s="2">
        <f t="shared" si="19"/>
        <v>-2.583762070944573E-3</v>
      </c>
      <c r="M99" s="21">
        <f t="shared" si="20"/>
        <v>8.8447068393876958</v>
      </c>
      <c r="N99" s="21">
        <f t="shared" si="21"/>
        <v>-2.9054823193916945E-3</v>
      </c>
      <c r="O99" s="2">
        <f t="shared" si="22"/>
        <v>8.8447617349543588</v>
      </c>
      <c r="P99" s="2">
        <f t="shared" si="23"/>
        <v>-2.9603778860547436E-3</v>
      </c>
      <c r="Q99" s="2">
        <f t="shared" si="24"/>
        <v>8.8450022764509626</v>
      </c>
      <c r="R99" s="2">
        <f t="shared" si="25"/>
        <v>-3.2009193826585403E-3</v>
      </c>
      <c r="S99" s="2">
        <f t="shared" si="26"/>
        <v>8.8445732074205363</v>
      </c>
      <c r="T99" s="2">
        <f t="shared" si="27"/>
        <v>-2.7718503522322635E-3</v>
      </c>
      <c r="U99" s="21">
        <f t="shared" si="28"/>
        <v>8.8445225940792458</v>
      </c>
      <c r="V99" s="21">
        <f t="shared" si="29"/>
        <v>-2.721237010941735E-3</v>
      </c>
    </row>
    <row r="100" spans="1:22" x14ac:dyDescent="0.2">
      <c r="A100" s="8">
        <v>99</v>
      </c>
      <c r="B100">
        <v>10</v>
      </c>
      <c r="C100">
        <f t="shared" si="17"/>
        <v>283.14999999999998</v>
      </c>
      <c r="D100">
        <v>35</v>
      </c>
      <c r="E100" s="4">
        <f t="shared" si="33"/>
        <v>10</v>
      </c>
      <c r="F100">
        <v>283.14999999999998</v>
      </c>
      <c r="G100">
        <v>35</v>
      </c>
      <c r="I100" s="2">
        <f t="shared" si="18"/>
        <v>8.7790791529430958</v>
      </c>
      <c r="J100" s="2">
        <v>8.7766571847828168</v>
      </c>
      <c r="K100" s="2">
        <v>8.7766571847828168</v>
      </c>
      <c r="L100" s="2">
        <f t="shared" si="19"/>
        <v>-2.4219681602790644E-3</v>
      </c>
      <c r="M100" s="21">
        <f t="shared" si="20"/>
        <v>8.7801883422972757</v>
      </c>
      <c r="N100" s="21">
        <f t="shared" si="21"/>
        <v>-3.5311575144589824E-3</v>
      </c>
      <c r="O100" s="2">
        <f t="shared" si="22"/>
        <v>8.780292811972469</v>
      </c>
      <c r="P100" s="2">
        <f t="shared" si="23"/>
        <v>-3.6356271896522685E-3</v>
      </c>
      <c r="Q100" s="2">
        <f t="shared" si="24"/>
        <v>8.7806295234965095</v>
      </c>
      <c r="R100" s="2">
        <f t="shared" si="25"/>
        <v>-3.9723387136927357E-3</v>
      </c>
      <c r="S100" s="2">
        <f t="shared" si="26"/>
        <v>8.7793632701406672</v>
      </c>
      <c r="T100" s="2">
        <f t="shared" si="27"/>
        <v>-2.7060853578504407E-3</v>
      </c>
      <c r="U100" s="21">
        <f t="shared" si="28"/>
        <v>8.7793181205284512</v>
      </c>
      <c r="V100" s="21">
        <f t="shared" si="29"/>
        <v>-2.6609357456344185E-3</v>
      </c>
    </row>
    <row r="101" spans="1:22" x14ac:dyDescent="0.2">
      <c r="A101" s="8">
        <v>100</v>
      </c>
      <c r="B101">
        <v>15</v>
      </c>
      <c r="C101">
        <f t="shared" si="17"/>
        <v>288.14999999999998</v>
      </c>
      <c r="D101">
        <v>35</v>
      </c>
      <c r="E101" s="4">
        <f t="shared" si="33"/>
        <v>15</v>
      </c>
      <c r="F101">
        <v>288.14999999999998</v>
      </c>
      <c r="G101">
        <v>35</v>
      </c>
      <c r="I101" s="2">
        <f t="shared" si="18"/>
        <v>8.7165174773197034</v>
      </c>
      <c r="J101" s="2">
        <v>8.713814773251416</v>
      </c>
      <c r="K101" s="2">
        <v>8.713814773251416</v>
      </c>
      <c r="L101" s="2">
        <f t="shared" si="19"/>
        <v>-2.7027040682874315E-3</v>
      </c>
      <c r="M101" s="21">
        <f t="shared" si="20"/>
        <v>8.7177524377624991</v>
      </c>
      <c r="N101" s="21">
        <f t="shared" si="21"/>
        <v>-3.9376645110831276E-3</v>
      </c>
      <c r="O101" s="2">
        <f t="shared" si="22"/>
        <v>8.7177120819735343</v>
      </c>
      <c r="P101" s="2">
        <f t="shared" si="23"/>
        <v>-3.8973087221183533E-3</v>
      </c>
      <c r="Q101" s="2">
        <f t="shared" si="24"/>
        <v>8.7180644430961749</v>
      </c>
      <c r="R101" s="2">
        <f t="shared" si="25"/>
        <v>-4.2496698447589409E-3</v>
      </c>
      <c r="S101" s="2">
        <f t="shared" si="26"/>
        <v>8.7169698151170127</v>
      </c>
      <c r="T101" s="2">
        <f t="shared" si="27"/>
        <v>-3.155041865596786E-3</v>
      </c>
      <c r="U101" s="21">
        <f t="shared" si="28"/>
        <v>8.7169361704271893</v>
      </c>
      <c r="V101" s="21">
        <f t="shared" si="29"/>
        <v>-3.1213971757733106E-3</v>
      </c>
    </row>
    <row r="102" spans="1:22" x14ac:dyDescent="0.2">
      <c r="A102" s="8">
        <v>101</v>
      </c>
      <c r="B102">
        <v>20</v>
      </c>
      <c r="C102">
        <f t="shared" si="17"/>
        <v>293.14999999999998</v>
      </c>
      <c r="D102">
        <v>35</v>
      </c>
      <c r="E102" s="4">
        <f t="shared" si="33"/>
        <v>20</v>
      </c>
      <c r="F102">
        <v>293.14999999999998</v>
      </c>
      <c r="G102">
        <v>35</v>
      </c>
      <c r="I102" s="2">
        <f t="shared" si="18"/>
        <v>8.6561476609914916</v>
      </c>
      <c r="J102" s="2">
        <v>8.6538387053005774</v>
      </c>
      <c r="K102" s="2">
        <v>8.6538387053005774</v>
      </c>
      <c r="L102" s="2">
        <f t="shared" si="19"/>
        <v>-2.3089556909141606E-3</v>
      </c>
      <c r="M102" s="21">
        <f t="shared" si="20"/>
        <v>8.6572369744102762</v>
      </c>
      <c r="N102" s="21">
        <f t="shared" si="21"/>
        <v>-3.3982691096987594E-3</v>
      </c>
      <c r="O102" s="2">
        <f t="shared" si="22"/>
        <v>8.6568610831471364</v>
      </c>
      <c r="P102" s="2">
        <f t="shared" si="23"/>
        <v>-3.0223778465590101E-3</v>
      </c>
      <c r="Q102" s="2">
        <f t="shared" si="24"/>
        <v>8.6571521221437866</v>
      </c>
      <c r="R102" s="2">
        <f t="shared" si="25"/>
        <v>-3.3134168432091826E-3</v>
      </c>
      <c r="S102" s="2">
        <f t="shared" si="26"/>
        <v>8.6567844364004145</v>
      </c>
      <c r="T102" s="2">
        <f t="shared" si="27"/>
        <v>-2.94573109983709E-3</v>
      </c>
      <c r="U102" s="21">
        <f t="shared" si="28"/>
        <v>8.6568317326179152</v>
      </c>
      <c r="V102" s="21">
        <f t="shared" si="29"/>
        <v>-2.9930273173377486E-3</v>
      </c>
    </row>
    <row r="103" spans="1:22" x14ac:dyDescent="0.2">
      <c r="A103" s="8">
        <v>102</v>
      </c>
      <c r="B103">
        <v>25</v>
      </c>
      <c r="C103">
        <f t="shared" si="17"/>
        <v>298.14999999999998</v>
      </c>
      <c r="D103">
        <v>35</v>
      </c>
      <c r="E103" s="4">
        <f t="shared" si="33"/>
        <v>25</v>
      </c>
      <c r="F103">
        <v>298.14999999999998</v>
      </c>
      <c r="G103">
        <v>35</v>
      </c>
      <c r="I103" s="2">
        <f t="shared" si="18"/>
        <v>8.5974681508973703</v>
      </c>
      <c r="J103" s="2">
        <v>8.5949483735544963</v>
      </c>
      <c r="K103" s="2">
        <v>8.5949483735544963</v>
      </c>
      <c r="L103" s="2">
        <f t="shared" si="19"/>
        <v>-2.5197773428740078E-3</v>
      </c>
      <c r="M103" s="21">
        <f t="shared" si="20"/>
        <v>8.5984925427604271</v>
      </c>
      <c r="N103" s="21">
        <f t="shared" si="21"/>
        <v>-3.5441692059308139E-3</v>
      </c>
      <c r="O103" s="2">
        <f t="shared" si="22"/>
        <v>8.5975940579887844</v>
      </c>
      <c r="P103" s="2">
        <f t="shared" si="23"/>
        <v>-2.6456844342881425E-3</v>
      </c>
      <c r="Q103" s="2">
        <f t="shared" si="24"/>
        <v>8.5977501329582893</v>
      </c>
      <c r="R103" s="2">
        <f t="shared" si="25"/>
        <v>-2.8017594037930138E-3</v>
      </c>
      <c r="S103" s="2">
        <f t="shared" si="26"/>
        <v>8.5982569578131329</v>
      </c>
      <c r="T103" s="2">
        <f t="shared" si="27"/>
        <v>-3.3085842586366709E-3</v>
      </c>
      <c r="U103" s="21">
        <f t="shared" si="28"/>
        <v>8.5985113772841615</v>
      </c>
      <c r="V103" s="21">
        <f t="shared" si="29"/>
        <v>-3.5630037296652262E-3</v>
      </c>
    </row>
    <row r="104" spans="1:22" x14ac:dyDescent="0.2">
      <c r="A104" s="8">
        <v>103</v>
      </c>
      <c r="B104">
        <v>30</v>
      </c>
      <c r="C104">
        <f t="shared" si="17"/>
        <v>303.14999999999998</v>
      </c>
      <c r="D104">
        <v>35</v>
      </c>
      <c r="E104" s="4">
        <f t="shared" ref="E104:E108" si="34">F104-273.15</f>
        <v>30</v>
      </c>
      <c r="F104">
        <v>303.14999999999998</v>
      </c>
      <c r="G104">
        <v>35</v>
      </c>
      <c r="I104" s="2">
        <f t="shared" si="18"/>
        <v>8.5400233923987692</v>
      </c>
      <c r="J104" s="2">
        <v>8.5373174958059348</v>
      </c>
      <c r="K104" s="2">
        <v>8.5373174958059348</v>
      </c>
      <c r="L104" s="2">
        <f t="shared" si="19"/>
        <v>-2.7058965928343781E-3</v>
      </c>
      <c r="M104" s="21">
        <f t="shared" si="20"/>
        <v>8.5413813321493208</v>
      </c>
      <c r="N104" s="21">
        <f t="shared" si="21"/>
        <v>-4.0638363433860292E-3</v>
      </c>
      <c r="O104" s="2">
        <f t="shared" si="22"/>
        <v>8.5397768029347265</v>
      </c>
      <c r="P104" s="2">
        <f t="shared" si="23"/>
        <v>-2.4593071287917212E-3</v>
      </c>
      <c r="Q104" s="2">
        <f t="shared" si="24"/>
        <v>8.5397274000205101</v>
      </c>
      <c r="R104" s="2">
        <f t="shared" si="25"/>
        <v>-2.4099042145753202E-3</v>
      </c>
      <c r="S104" s="2">
        <f t="shared" si="26"/>
        <v>8.5408896991552172</v>
      </c>
      <c r="T104" s="2">
        <f t="shared" si="27"/>
        <v>-3.5722033492824323E-3</v>
      </c>
      <c r="U104" s="21">
        <f t="shared" si="28"/>
        <v>8.5415281988049312</v>
      </c>
      <c r="V104" s="21">
        <f t="shared" si="29"/>
        <v>-4.2107029989963962E-3</v>
      </c>
    </row>
    <row r="105" spans="1:22" x14ac:dyDescent="0.2">
      <c r="A105" s="8">
        <v>104</v>
      </c>
      <c r="B105">
        <v>35</v>
      </c>
      <c r="C105">
        <f t="shared" si="17"/>
        <v>308.14999999999998</v>
      </c>
      <c r="D105">
        <v>35</v>
      </c>
      <c r="E105" s="4">
        <f t="shared" si="34"/>
        <v>35</v>
      </c>
      <c r="F105">
        <v>308.14999999999998</v>
      </c>
      <c r="G105">
        <v>35</v>
      </c>
      <c r="I105" s="2">
        <f t="shared" si="18"/>
        <v>8.483399468963837</v>
      </c>
      <c r="J105" s="2">
        <v>8.4804249186766079</v>
      </c>
      <c r="K105" s="2">
        <v>8.4804249186766079</v>
      </c>
      <c r="L105" s="2">
        <f t="shared" si="19"/>
        <v>-2.9745502872291496E-3</v>
      </c>
      <c r="M105" s="21">
        <f t="shared" si="20"/>
        <v>8.485776104929041</v>
      </c>
      <c r="N105" s="21">
        <f t="shared" si="21"/>
        <v>-5.3511862524331377E-3</v>
      </c>
      <c r="O105" s="2">
        <f t="shared" si="22"/>
        <v>8.4832856366564098</v>
      </c>
      <c r="P105" s="2">
        <f t="shared" si="23"/>
        <v>-2.8607179798019189E-3</v>
      </c>
      <c r="Q105" s="2">
        <f t="shared" si="24"/>
        <v>8.4829631837661736</v>
      </c>
      <c r="R105" s="2">
        <f t="shared" si="25"/>
        <v>-2.5382650895657832E-3</v>
      </c>
      <c r="S105" s="2">
        <f t="shared" si="26"/>
        <v>8.4842323648010023</v>
      </c>
      <c r="T105" s="2">
        <f t="shared" si="27"/>
        <v>-3.8074461243944313E-3</v>
      </c>
      <c r="U105" s="21">
        <f t="shared" si="28"/>
        <v>8.4854773062729159</v>
      </c>
      <c r="V105" s="21">
        <f t="shared" si="29"/>
        <v>-5.0523875963079945E-3</v>
      </c>
    </row>
    <row r="106" spans="1:22" x14ac:dyDescent="0.2">
      <c r="A106" s="8">
        <v>105</v>
      </c>
      <c r="B106">
        <v>40</v>
      </c>
      <c r="C106">
        <f t="shared" si="17"/>
        <v>313.14999999999998</v>
      </c>
      <c r="D106">
        <v>35</v>
      </c>
      <c r="E106" s="4">
        <f t="shared" si="34"/>
        <v>40</v>
      </c>
      <c r="F106">
        <v>313.14999999999998</v>
      </c>
      <c r="G106">
        <v>35</v>
      </c>
      <c r="I106" s="2">
        <f t="shared" si="18"/>
        <v>8.4272201997215284</v>
      </c>
      <c r="J106" s="2">
        <v>8.4243575010628984</v>
      </c>
      <c r="K106" s="2">
        <v>8.4243575010628984</v>
      </c>
      <c r="L106" s="2">
        <f t="shared" si="19"/>
        <v>-2.8626986586299807E-3</v>
      </c>
      <c r="M106" s="21">
        <f t="shared" si="20"/>
        <v>8.431559274355914</v>
      </c>
      <c r="N106" s="21">
        <f t="shared" si="21"/>
        <v>-7.2017732930156342E-3</v>
      </c>
      <c r="O106" s="2">
        <f t="shared" si="22"/>
        <v>8.4280064732197584</v>
      </c>
      <c r="P106" s="2">
        <f t="shared" si="23"/>
        <v>-3.6489721568599975E-3</v>
      </c>
      <c r="Q106" s="2">
        <f t="shared" si="24"/>
        <v>8.4273461678146315</v>
      </c>
      <c r="R106" s="2">
        <f t="shared" si="25"/>
        <v>-2.9886667517331489E-3</v>
      </c>
      <c r="S106" s="2">
        <f t="shared" si="26"/>
        <v>8.4278774797489131</v>
      </c>
      <c r="T106" s="2">
        <f t="shared" si="27"/>
        <v>-3.5199786860147242E-3</v>
      </c>
      <c r="U106" s="21">
        <f t="shared" si="28"/>
        <v>8.4299917958320023</v>
      </c>
      <c r="V106" s="21">
        <f t="shared" si="29"/>
        <v>-5.6342947691039313E-3</v>
      </c>
    </row>
    <row r="107" spans="1:22" x14ac:dyDescent="0.2">
      <c r="A107" s="8">
        <v>106</v>
      </c>
      <c r="B107">
        <v>45</v>
      </c>
      <c r="C107">
        <f t="shared" si="17"/>
        <v>318.14999999999998</v>
      </c>
      <c r="D107">
        <v>35</v>
      </c>
      <c r="E107" s="4">
        <f t="shared" si="34"/>
        <v>45</v>
      </c>
      <c r="F107">
        <v>318.14999999999998</v>
      </c>
      <c r="G107">
        <v>35</v>
      </c>
      <c r="I107" s="2">
        <f t="shared" ref="I107" si="35">-LOG(EXP((-8966.9-2890.53*G107^(0.5)-77.942*G107+1.728*(G107)^1.5-0.0996*G107^2)/F107+(148.0248+137.1942*G107^(0.5)+1.62142*G107)+(-24.4344-25.085*G107^(0.5)-0.2474*G107)*LN(F107)+(0.053105*G107^0.5)*F107))</f>
        <v>8.3711436413610052</v>
      </c>
      <c r="J107" s="2">
        <v>8.3684638012419512</v>
      </c>
      <c r="K107" s="2">
        <v>8.3684638012419512</v>
      </c>
      <c r="L107" s="2">
        <f t="shared" ref="L107" si="36">K107-I107</f>
        <v>-2.6798401190539778E-3</v>
      </c>
      <c r="M107" s="21">
        <f t="shared" ref="M107" si="37">-54.281+(3458.924/F107)+(-170.4282*G107^(1/2)/F107)+(-0.076232*G107^(1/2)/(1+G107^(1/2)))+(9.112029*LN(F107))+(0.25741444*G107^(1/2)*LN(F107))+(-0.0034385*G107^(1/2)*F107)+(0.00001886*G107*F107)</f>
        <v>8.3786220743357482</v>
      </c>
      <c r="N107" s="21">
        <f t="shared" ref="N107" si="38">K107-M107</f>
        <v>-1.0158273093797021E-2</v>
      </c>
      <c r="O107" s="2">
        <f t="shared" ref="O107" si="39">-60.4127+(3725.246/F107)+(-201.715*G107^(1/2)/F107)+(-0.07761*G107^(1/2)/(1+G107^(1/2)))+(10.03142*LN(F107))+(0.304366*G107^(1/2)*LN(F107))+(-0.003981*G107^(1/2)*F107)+(0.00001843*G107*F107)</f>
        <v>8.3738339880993227</v>
      </c>
      <c r="P107" s="2">
        <f t="shared" ref="P107" si="40">K107-O107</f>
        <v>-5.3701868573714506E-3</v>
      </c>
      <c r="Q107" s="2">
        <f t="shared" si="24"/>
        <v>8.3727736377762589</v>
      </c>
      <c r="R107" s="2">
        <f t="shared" si="25"/>
        <v>-4.3098365343077205E-3</v>
      </c>
      <c r="S107" s="2">
        <f t="shared" si="26"/>
        <v>8.3714563081356737</v>
      </c>
      <c r="T107" s="2">
        <f t="shared" si="27"/>
        <v>-2.9925068937224353E-3</v>
      </c>
      <c r="U107" s="21">
        <f t="shared" si="28"/>
        <v>8.3747391477254691</v>
      </c>
      <c r="V107" s="21">
        <f t="shared" si="29"/>
        <v>-6.2753464835179074E-3</v>
      </c>
    </row>
    <row r="108" spans="1:22" x14ac:dyDescent="0.2">
      <c r="A108" s="8">
        <v>107</v>
      </c>
      <c r="B108">
        <v>0</v>
      </c>
      <c r="C108">
        <f t="shared" si="17"/>
        <v>273.14999999999998</v>
      </c>
      <c r="D108">
        <v>45</v>
      </c>
      <c r="E108" s="4">
        <f t="shared" si="34"/>
        <v>0</v>
      </c>
      <c r="F108">
        <v>273.14999999999998</v>
      </c>
      <c r="G108">
        <v>45</v>
      </c>
      <c r="I108" s="2">
        <f t="shared" si="18"/>
        <v>8.8701641791054975</v>
      </c>
      <c r="J108" s="2">
        <v>8.869856780599255</v>
      </c>
      <c r="K108" s="2">
        <v>8.869856780599255</v>
      </c>
      <c r="L108" s="2">
        <f t="shared" si="19"/>
        <v>-3.0739850624250664E-4</v>
      </c>
      <c r="M108" s="21">
        <f t="shared" si="20"/>
        <v>8.8675554892401642</v>
      </c>
      <c r="N108" s="21">
        <f t="shared" si="21"/>
        <v>2.3012913590907402E-3</v>
      </c>
      <c r="O108" s="2">
        <f t="shared" si="22"/>
        <v>8.8667020700877686</v>
      </c>
      <c r="P108" s="2">
        <f t="shared" si="23"/>
        <v>3.1547105114864138E-3</v>
      </c>
      <c r="Q108" s="2">
        <f t="shared" si="24"/>
        <v>8.8666219071889127</v>
      </c>
      <c r="R108" s="2">
        <f t="shared" si="25"/>
        <v>3.2348734103422316E-3</v>
      </c>
      <c r="S108" s="2">
        <f t="shared" si="26"/>
        <v>8.8688328636358555</v>
      </c>
      <c r="T108" s="2">
        <f t="shared" si="27"/>
        <v>1.0239169633994294E-3</v>
      </c>
      <c r="U108" s="21">
        <f t="shared" si="28"/>
        <v>8.8691635202570112</v>
      </c>
      <c r="V108" s="21">
        <f t="shared" si="29"/>
        <v>6.9326034224381772E-4</v>
      </c>
    </row>
    <row r="109" spans="1:22" x14ac:dyDescent="0.2">
      <c r="A109" s="8">
        <v>108</v>
      </c>
      <c r="B109">
        <v>5</v>
      </c>
      <c r="C109">
        <f t="shared" si="17"/>
        <v>278.14999999999998</v>
      </c>
      <c r="D109">
        <v>45</v>
      </c>
      <c r="E109" s="4">
        <f t="shared" ref="E109:E113" si="41">F109-273.15</f>
        <v>5</v>
      </c>
      <c r="F109">
        <v>278.14999999999998</v>
      </c>
      <c r="G109">
        <v>45</v>
      </c>
      <c r="I109" s="2">
        <f t="shared" si="18"/>
        <v>8.8008751201648145</v>
      </c>
      <c r="J109" s="2">
        <v>8.8010645346657785</v>
      </c>
      <c r="K109" s="2">
        <v>8.8010645346657785</v>
      </c>
      <c r="L109" s="2">
        <f t="shared" si="19"/>
        <v>1.8941450096399137E-4</v>
      </c>
      <c r="M109" s="21">
        <f t="shared" si="20"/>
        <v>8.8006856693270361</v>
      </c>
      <c r="N109" s="21">
        <f t="shared" si="21"/>
        <v>3.78865338742429E-4</v>
      </c>
      <c r="O109" s="2">
        <f t="shared" si="22"/>
        <v>8.8002154008320748</v>
      </c>
      <c r="P109" s="2">
        <f t="shared" si="23"/>
        <v>8.491338337037746E-4</v>
      </c>
      <c r="Q109" s="2">
        <f t="shared" si="24"/>
        <v>8.8003406189370139</v>
      </c>
      <c r="R109" s="2">
        <f t="shared" si="25"/>
        <v>7.2391572876462362E-4</v>
      </c>
      <c r="S109" s="2">
        <f t="shared" si="26"/>
        <v>8.7998734117096404</v>
      </c>
      <c r="T109" s="2">
        <f t="shared" si="27"/>
        <v>1.191122956138102E-3</v>
      </c>
      <c r="U109" s="21">
        <f t="shared" si="28"/>
        <v>8.8001530814605875</v>
      </c>
      <c r="V109" s="21">
        <f t="shared" si="29"/>
        <v>9.1145320519103734E-4</v>
      </c>
    </row>
    <row r="110" spans="1:22" x14ac:dyDescent="0.2">
      <c r="A110" s="8">
        <v>109</v>
      </c>
      <c r="B110">
        <v>10</v>
      </c>
      <c r="C110">
        <f t="shared" si="17"/>
        <v>283.14999999999998</v>
      </c>
      <c r="D110">
        <v>45</v>
      </c>
      <c r="E110" s="4">
        <f t="shared" si="41"/>
        <v>10</v>
      </c>
      <c r="F110">
        <v>283.14999999999998</v>
      </c>
      <c r="G110">
        <v>45</v>
      </c>
      <c r="I110" s="2">
        <f t="shared" si="18"/>
        <v>8.7348158685002133</v>
      </c>
      <c r="J110" s="2">
        <v>8.7351820617610567</v>
      </c>
      <c r="K110" s="2">
        <v>8.7351820617610567</v>
      </c>
      <c r="L110" s="2">
        <f t="shared" si="19"/>
        <v>3.6619326084341708E-4</v>
      </c>
      <c r="M110" s="21">
        <f t="shared" si="20"/>
        <v>8.7356949448700885</v>
      </c>
      <c r="N110" s="21">
        <f t="shared" si="21"/>
        <v>-5.1288310903174761E-4</v>
      </c>
      <c r="O110" s="2">
        <f t="shared" si="22"/>
        <v>8.7353400888067991</v>
      </c>
      <c r="P110" s="2">
        <f t="shared" si="23"/>
        <v>-1.5802704574241488E-4</v>
      </c>
      <c r="Q110" s="2">
        <f t="shared" si="24"/>
        <v>8.7355726284516741</v>
      </c>
      <c r="R110" s="2">
        <f t="shared" si="25"/>
        <v>-3.9056669061743321E-4</v>
      </c>
      <c r="S110" s="2">
        <f t="shared" si="26"/>
        <v>8.7341481969085031</v>
      </c>
      <c r="T110" s="2">
        <f t="shared" si="27"/>
        <v>1.0338648525536343E-3</v>
      </c>
      <c r="U110" s="21">
        <f t="shared" si="28"/>
        <v>8.7343554517925561</v>
      </c>
      <c r="V110" s="21">
        <f t="shared" si="29"/>
        <v>8.2660996850059121E-4</v>
      </c>
    </row>
    <row r="111" spans="1:22" x14ac:dyDescent="0.2">
      <c r="A111" s="8">
        <v>110</v>
      </c>
      <c r="B111">
        <v>15</v>
      </c>
      <c r="C111">
        <f t="shared" si="17"/>
        <v>288.14999999999998</v>
      </c>
      <c r="D111">
        <v>45</v>
      </c>
      <c r="E111" s="4">
        <f t="shared" si="41"/>
        <v>15</v>
      </c>
      <c r="F111">
        <v>288.14999999999998</v>
      </c>
      <c r="G111">
        <v>45</v>
      </c>
      <c r="I111" s="2">
        <f t="shared" si="18"/>
        <v>8.6713306021935175</v>
      </c>
      <c r="J111" s="2">
        <v>8.6712973434730873</v>
      </c>
      <c r="K111" s="2">
        <v>8.6712973434730873</v>
      </c>
      <c r="L111" s="2">
        <f t="shared" si="19"/>
        <v>-3.3258720430140443E-5</v>
      </c>
      <c r="M111" s="21">
        <f t="shared" si="20"/>
        <v>8.6724257873248884</v>
      </c>
      <c r="N111" s="21">
        <f t="shared" si="21"/>
        <v>-1.1284438518011086E-3</v>
      </c>
      <c r="O111" s="2">
        <f t="shared" si="22"/>
        <v>8.6719257429908456</v>
      </c>
      <c r="P111" s="2">
        <f t="shared" si="23"/>
        <v>-6.283995177582824E-4</v>
      </c>
      <c r="Q111" s="2">
        <f t="shared" si="24"/>
        <v>8.6721720065416861</v>
      </c>
      <c r="R111" s="2">
        <f t="shared" si="25"/>
        <v>-8.7466306859873555E-4</v>
      </c>
      <c r="S111" s="2">
        <f t="shared" si="26"/>
        <v>8.6709389918207762</v>
      </c>
      <c r="T111" s="2">
        <f t="shared" si="27"/>
        <v>3.5835165231112853E-4</v>
      </c>
      <c r="U111" s="21">
        <f t="shared" si="28"/>
        <v>8.671129163601357</v>
      </c>
      <c r="V111" s="21">
        <f t="shared" si="29"/>
        <v>1.681798717303451E-4</v>
      </c>
    </row>
    <row r="112" spans="1:22" x14ac:dyDescent="0.2">
      <c r="A112" s="8">
        <v>111</v>
      </c>
      <c r="B112">
        <v>20</v>
      </c>
      <c r="C112">
        <f t="shared" si="17"/>
        <v>293.14999999999998</v>
      </c>
      <c r="D112">
        <v>45</v>
      </c>
      <c r="E112" s="4">
        <f t="shared" si="41"/>
        <v>20</v>
      </c>
      <c r="F112">
        <v>293.14999999999998</v>
      </c>
      <c r="G112">
        <v>45</v>
      </c>
      <c r="I112" s="2">
        <f t="shared" si="18"/>
        <v>8.6098248811772269</v>
      </c>
      <c r="J112" s="2">
        <v>8.6100183920765385</v>
      </c>
      <c r="K112" s="2">
        <v>8.6100183920765385</v>
      </c>
      <c r="L112" s="2">
        <f t="shared" si="19"/>
        <v>1.9351089931163301E-4</v>
      </c>
      <c r="M112" s="21">
        <f t="shared" si="20"/>
        <v>8.6107334525979358</v>
      </c>
      <c r="N112" s="21">
        <f t="shared" si="21"/>
        <v>-7.1506052139724829E-4</v>
      </c>
      <c r="O112" s="2">
        <f t="shared" si="22"/>
        <v>8.6098345018562394</v>
      </c>
      <c r="P112" s="2">
        <f t="shared" si="23"/>
        <v>1.8389022029907665E-4</v>
      </c>
      <c r="Q112" s="2">
        <f t="shared" si="24"/>
        <v>8.6100050710328588</v>
      </c>
      <c r="R112" s="2">
        <f t="shared" si="25"/>
        <v>1.3321043679681566E-5</v>
      </c>
      <c r="S112" s="2">
        <f t="shared" si="26"/>
        <v>8.6095975815857759</v>
      </c>
      <c r="T112" s="2">
        <f t="shared" si="27"/>
        <v>4.2081049076259092E-4</v>
      </c>
      <c r="U112" s="21">
        <f t="shared" si="28"/>
        <v>8.6098946277258452</v>
      </c>
      <c r="V112" s="21">
        <f t="shared" si="29"/>
        <v>1.237643506932784E-4</v>
      </c>
    </row>
    <row r="113" spans="1:22" x14ac:dyDescent="0.2">
      <c r="A113" s="8">
        <v>112</v>
      </c>
      <c r="B113">
        <v>25</v>
      </c>
      <c r="C113">
        <f t="shared" si="17"/>
        <v>298.14999999999998</v>
      </c>
      <c r="D113">
        <v>45</v>
      </c>
      <c r="E113" s="4">
        <f t="shared" si="41"/>
        <v>25</v>
      </c>
      <c r="F113">
        <v>298.14999999999998</v>
      </c>
      <c r="G113">
        <v>45</v>
      </c>
      <c r="I113" s="2">
        <f t="shared" si="18"/>
        <v>8.549759663074548</v>
      </c>
      <c r="J113" s="2">
        <v>8.5497383179883677</v>
      </c>
      <c r="K113" s="2">
        <v>8.5497383179883677</v>
      </c>
      <c r="L113" s="2">
        <f t="shared" si="19"/>
        <v>-2.1345086180346584E-5</v>
      </c>
      <c r="M113" s="21">
        <f t="shared" si="20"/>
        <v>8.55048480655514</v>
      </c>
      <c r="N113" s="21">
        <f t="shared" si="21"/>
        <v>-7.4648856677228537E-4</v>
      </c>
      <c r="O113" s="2">
        <f t="shared" si="22"/>
        <v>8.5489398685808808</v>
      </c>
      <c r="P113" s="2">
        <f t="shared" si="23"/>
        <v>7.9844940748685644E-4</v>
      </c>
      <c r="Q113" s="2">
        <f t="shared" si="24"/>
        <v>8.5489492445630404</v>
      </c>
      <c r="R113" s="2">
        <f t="shared" si="25"/>
        <v>7.890734253273024E-4</v>
      </c>
      <c r="S113" s="2">
        <f t="shared" si="26"/>
        <v>8.5495387494146495</v>
      </c>
      <c r="T113" s="2">
        <f t="shared" si="27"/>
        <v>1.9956857371816739E-4</v>
      </c>
      <c r="U113" s="21">
        <f t="shared" si="28"/>
        <v>8.550127959009469</v>
      </c>
      <c r="V113" s="21">
        <f t="shared" si="29"/>
        <v>-3.8964102110128351E-4</v>
      </c>
    </row>
    <row r="114" spans="1:22" x14ac:dyDescent="0.2">
      <c r="A114" s="8">
        <v>113</v>
      </c>
      <c r="B114">
        <v>30</v>
      </c>
      <c r="C114">
        <f t="shared" si="17"/>
        <v>303.14999999999998</v>
      </c>
      <c r="D114">
        <v>45</v>
      </c>
      <c r="E114" s="4">
        <f>F114-273.15</f>
        <v>30</v>
      </c>
      <c r="F114">
        <v>303.14999999999998</v>
      </c>
      <c r="G114">
        <v>45</v>
      </c>
      <c r="I114" s="2">
        <f t="shared" si="18"/>
        <v>8.4906459664876373</v>
      </c>
      <c r="J114" s="2">
        <v>8.4905439801049543</v>
      </c>
      <c r="K114" s="2">
        <v>8.4905439801049543</v>
      </c>
      <c r="L114" s="2">
        <f t="shared" si="19"/>
        <v>-1.0198638268299476E-4</v>
      </c>
      <c r="M114" s="21">
        <f t="shared" si="20"/>
        <v>8.4915572735237337</v>
      </c>
      <c r="N114" s="21">
        <f t="shared" si="21"/>
        <v>-1.0132934187794262E-3</v>
      </c>
      <c r="O114" s="2">
        <f t="shared" si="22"/>
        <v>8.4891256690646664</v>
      </c>
      <c r="P114" s="2">
        <f t="shared" si="23"/>
        <v>1.4183110402878896E-3</v>
      </c>
      <c r="Q114" s="2">
        <f t="shared" si="24"/>
        <v>8.488892033018514</v>
      </c>
      <c r="R114" s="2">
        <f t="shared" si="25"/>
        <v>1.6519470864402308E-3</v>
      </c>
      <c r="S114" s="2">
        <f t="shared" si="26"/>
        <v>8.4902340364049724</v>
      </c>
      <c r="T114" s="2">
        <f t="shared" si="27"/>
        <v>3.0994369998182947E-4</v>
      </c>
      <c r="U114" s="21">
        <f t="shared" si="28"/>
        <v>8.4913554819063393</v>
      </c>
      <c r="V114" s="21">
        <f t="shared" si="29"/>
        <v>-8.1150180138500616E-4</v>
      </c>
    </row>
    <row r="115" spans="1:22" x14ac:dyDescent="0.2">
      <c r="A115" s="8">
        <v>114</v>
      </c>
      <c r="B115">
        <v>35</v>
      </c>
      <c r="C115">
        <f t="shared" si="17"/>
        <v>308.14999999999998</v>
      </c>
      <c r="D115">
        <v>45</v>
      </c>
      <c r="E115" s="4">
        <f>F115-273.15</f>
        <v>35</v>
      </c>
      <c r="F115">
        <v>308.14999999999998</v>
      </c>
      <c r="G115">
        <v>45</v>
      </c>
      <c r="I115" s="2">
        <f t="shared" si="18"/>
        <v>8.4320401037151171</v>
      </c>
      <c r="J115" s="2">
        <v>8.4315233600143031</v>
      </c>
      <c r="K115" s="2">
        <v>8.4315233600143031</v>
      </c>
      <c r="L115" s="2">
        <f t="shared" si="19"/>
        <v>-5.1674370081400411E-4</v>
      </c>
      <c r="M115" s="21">
        <f t="shared" si="20"/>
        <v>8.433837893268926</v>
      </c>
      <c r="N115" s="21">
        <f t="shared" si="21"/>
        <v>-2.3145332546228303E-3</v>
      </c>
      <c r="O115" s="2">
        <f t="shared" si="22"/>
        <v>8.4302851181894951</v>
      </c>
      <c r="P115" s="2">
        <f t="shared" si="23"/>
        <v>1.2382418248080285E-3</v>
      </c>
      <c r="Q115" s="2">
        <f t="shared" si="24"/>
        <v>8.4297301102919757</v>
      </c>
      <c r="R115" s="2">
        <f t="shared" si="25"/>
        <v>1.7932497223274169E-3</v>
      </c>
      <c r="S115" s="2">
        <f t="shared" si="26"/>
        <v>8.4312061808859848</v>
      </c>
      <c r="T115" s="2">
        <f t="shared" si="27"/>
        <v>3.171791283183012E-4</v>
      </c>
      <c r="U115" s="21">
        <f t="shared" si="28"/>
        <v>8.4331488330573467</v>
      </c>
      <c r="V115" s="21">
        <f t="shared" si="29"/>
        <v>-1.6254730430436126E-3</v>
      </c>
    </row>
    <row r="116" spans="1:22" x14ac:dyDescent="0.2">
      <c r="A116" s="8">
        <v>115</v>
      </c>
      <c r="B116">
        <v>40</v>
      </c>
      <c r="C116">
        <f t="shared" si="17"/>
        <v>313.14999999999998</v>
      </c>
      <c r="D116">
        <v>45</v>
      </c>
      <c r="E116" s="4">
        <f>F116-273.15</f>
        <v>40</v>
      </c>
      <c r="F116">
        <v>313.14999999999998</v>
      </c>
      <c r="G116">
        <v>45</v>
      </c>
      <c r="I116" s="2">
        <f t="shared" si="18"/>
        <v>8.3735394152697822</v>
      </c>
      <c r="J116" s="2">
        <v>8.3733278994392659</v>
      </c>
      <c r="K116" s="2">
        <v>8.3733278994392659</v>
      </c>
      <c r="L116" s="2">
        <f t="shared" si="19"/>
        <v>-2.1151583051626233E-4</v>
      </c>
      <c r="M116" s="21">
        <f t="shared" si="20"/>
        <v>8.3772224738336565</v>
      </c>
      <c r="N116" s="21">
        <f t="shared" si="21"/>
        <v>-3.8945743943905597E-3</v>
      </c>
      <c r="O116" s="2">
        <f t="shared" si="22"/>
        <v>8.3723199816817697</v>
      </c>
      <c r="P116" s="2">
        <f t="shared" si="23"/>
        <v>1.0079177574962017E-3</v>
      </c>
      <c r="Q116" s="2">
        <f t="shared" si="24"/>
        <v>8.3713684969303532</v>
      </c>
      <c r="R116" s="2">
        <f t="shared" si="25"/>
        <v>1.9594025089126887E-3</v>
      </c>
      <c r="S116" s="2">
        <f t="shared" si="26"/>
        <v>8.3720241553107559</v>
      </c>
      <c r="T116" s="2">
        <f t="shared" si="27"/>
        <v>1.303744128509976E-3</v>
      </c>
      <c r="U116" s="21">
        <f t="shared" si="28"/>
        <v>8.3751205889155393</v>
      </c>
      <c r="V116" s="21">
        <f t="shared" si="29"/>
        <v>-1.7926894762734236E-3</v>
      </c>
    </row>
    <row r="117" spans="1:22" x14ac:dyDescent="0.2">
      <c r="A117" s="8">
        <v>116</v>
      </c>
      <c r="B117">
        <v>45</v>
      </c>
      <c r="C117">
        <f t="shared" si="17"/>
        <v>318.14999999999998</v>
      </c>
      <c r="D117">
        <v>45</v>
      </c>
      <c r="E117" s="4">
        <f>F117-273.15</f>
        <v>45</v>
      </c>
      <c r="F117">
        <v>318.14999999999998</v>
      </c>
      <c r="G117">
        <v>45</v>
      </c>
      <c r="I117" s="2">
        <f t="shared" si="18"/>
        <v>8.3147784474494593</v>
      </c>
      <c r="J117" s="2">
        <v>8.3150890094160399</v>
      </c>
      <c r="K117" s="2">
        <v>8.3150890094160399</v>
      </c>
      <c r="L117" s="2">
        <f t="shared" si="19"/>
        <v>3.1056196658063584E-4</v>
      </c>
      <c r="M117" s="21">
        <f t="shared" si="20"/>
        <v>8.3216148292615504</v>
      </c>
      <c r="N117" s="21">
        <f t="shared" si="21"/>
        <v>-6.5258198455104832E-3</v>
      </c>
      <c r="O117" s="2">
        <f t="shared" si="22"/>
        <v>8.3151398225766808</v>
      </c>
      <c r="P117" s="2">
        <f t="shared" si="23"/>
        <v>-5.081316064092789E-5</v>
      </c>
      <c r="Q117" s="2">
        <f t="shared" si="24"/>
        <v>8.313719821855452</v>
      </c>
      <c r="R117" s="2">
        <f t="shared" si="25"/>
        <v>1.3691875605879034E-3</v>
      </c>
      <c r="S117" s="2">
        <f t="shared" si="26"/>
        <v>8.3122987296124276</v>
      </c>
      <c r="T117" s="2">
        <f t="shared" si="27"/>
        <v>2.79027980361235E-3</v>
      </c>
      <c r="U117" s="21">
        <f t="shared" si="28"/>
        <v>8.3169203560536058</v>
      </c>
      <c r="V117" s="21">
        <f t="shared" si="29"/>
        <v>-1.8313466375659004E-3</v>
      </c>
    </row>
  </sheetData>
  <autoFilter ref="A1:O117" xr:uid="{945D4AA3-F116-4275-A25C-588C90774CCB}"/>
  <conditionalFormatting sqref="L1:L1048576">
    <cfRule type="top10" dxfId="48" priority="21" bottom="1" rank="3"/>
    <cfRule type="top10" dxfId="47" priority="22" rank="3"/>
  </conditionalFormatting>
  <conditionalFormatting sqref="N1:N1048576">
    <cfRule type="top10" dxfId="46" priority="17" bottom="1" rank="3"/>
    <cfRule type="top10" dxfId="45" priority="18" rank="3"/>
  </conditionalFormatting>
  <conditionalFormatting sqref="V1:V117">
    <cfRule type="top10" dxfId="44" priority="3" bottom="1" rank="3"/>
    <cfRule type="top10" dxfId="43" priority="4" rank="3"/>
  </conditionalFormatting>
  <conditionalFormatting sqref="P1:P117">
    <cfRule type="top10" dxfId="5" priority="31" bottom="1" rank="3"/>
    <cfRule type="top10" dxfId="4" priority="32" rank="3"/>
  </conditionalFormatting>
  <conditionalFormatting sqref="R1:R117">
    <cfRule type="top10" dxfId="3" priority="33" bottom="1" rank="3"/>
    <cfRule type="top10" dxfId="2" priority="34" rank="3"/>
  </conditionalFormatting>
  <conditionalFormatting sqref="T1:T117">
    <cfRule type="top10" dxfId="1" priority="35" bottom="1" rank="3"/>
    <cfRule type="top10" dxfId="0" priority="36" rank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9DA89-35BD-47B5-BC9C-A97B5681E5C3}">
  <dimension ref="A1:Y120"/>
  <sheetViews>
    <sheetView workbookViewId="0">
      <selection activeCell="G24" sqref="G24"/>
    </sheetView>
  </sheetViews>
  <sheetFormatPr baseColWidth="10" defaultColWidth="8.83203125" defaultRowHeight="15" x14ac:dyDescent="0.2"/>
  <cols>
    <col min="1" max="1" width="17.5" customWidth="1"/>
    <col min="2" max="2" width="9.5" bestFit="1" customWidth="1"/>
    <col min="5" max="5" width="5.5" customWidth="1"/>
    <col min="20" max="20" width="10.6640625" customWidth="1"/>
  </cols>
  <sheetData>
    <row r="1" spans="1:25" ht="16" x14ac:dyDescent="0.2">
      <c r="L1" s="7" t="s">
        <v>3</v>
      </c>
      <c r="M1" s="7" t="s">
        <v>4</v>
      </c>
      <c r="N1" s="7" t="s">
        <v>8</v>
      </c>
      <c r="O1" s="12" t="s">
        <v>37</v>
      </c>
      <c r="P1" s="12" t="s">
        <v>38</v>
      </c>
    </row>
    <row r="2" spans="1:25" x14ac:dyDescent="0.2">
      <c r="A2" s="10" t="s">
        <v>9</v>
      </c>
      <c r="K2">
        <v>1</v>
      </c>
      <c r="L2">
        <v>275.14999999999998</v>
      </c>
      <c r="M2">
        <v>0</v>
      </c>
      <c r="N2" s="2">
        <v>9.4763443037501052</v>
      </c>
      <c r="O2" s="13">
        <f>$B$13+$B$14*M2^0.5+$B$15*1/L2+$B$16*M2^0.5/L2+$B$17*(M2^0.5/(1+M2^0.5))+$B$18*LN(L2)+$B$19*M2^0.5*LN(L2)+$B$20*M2^0.5*L2+$B$21*M2^1.5*L2</f>
        <v>9.4767609051158743</v>
      </c>
      <c r="P2" s="2">
        <f>N2-O2</f>
        <v>-4.1660136576915363E-4</v>
      </c>
    </row>
    <row r="3" spans="1:25" x14ac:dyDescent="0.2">
      <c r="A3" s="10" t="s">
        <v>10</v>
      </c>
      <c r="K3">
        <v>2</v>
      </c>
      <c r="L3">
        <v>283.14999999999998</v>
      </c>
      <c r="M3">
        <v>0</v>
      </c>
      <c r="N3" s="2">
        <v>9.3805996831057872</v>
      </c>
      <c r="O3" s="13">
        <f t="shared" ref="O3:O66" si="0">$B$13+$B$14*M3^0.5+$B$15*1/L3+$B$16*M3^0.5/L3+$B$17*(M3^0.5/(1+M3^0.5))+$B$18*LN(L3)+$B$19*M3^0.5*LN(L3)+$B$20*M3^0.5*L3+$B$21*M3^1.5*L3</f>
        <v>9.3816612230392664</v>
      </c>
      <c r="P3" s="2">
        <f t="shared" ref="P3:P66" si="1">N3-O3</f>
        <v>-1.0615399334792386E-3</v>
      </c>
    </row>
    <row r="4" spans="1:25" x14ac:dyDescent="0.2">
      <c r="A4" s="10" t="s">
        <v>11</v>
      </c>
      <c r="K4">
        <v>3</v>
      </c>
      <c r="L4">
        <v>288.14999999999998</v>
      </c>
      <c r="M4">
        <v>0</v>
      </c>
      <c r="N4" s="2">
        <v>9.327701400560402</v>
      </c>
      <c r="O4" s="13">
        <f t="shared" si="0"/>
        <v>9.3288317925090425</v>
      </c>
      <c r="P4" s="2">
        <f t="shared" si="1"/>
        <v>-1.1303919486405078E-3</v>
      </c>
    </row>
    <row r="5" spans="1:25" x14ac:dyDescent="0.2">
      <c r="A5" s="11" t="s">
        <v>12</v>
      </c>
      <c r="K5">
        <v>4</v>
      </c>
      <c r="L5">
        <v>293.14999999999998</v>
      </c>
      <c r="M5">
        <v>0</v>
      </c>
      <c r="N5" s="2">
        <v>9.279748389054344</v>
      </c>
      <c r="O5" s="13">
        <f t="shared" si="0"/>
        <v>9.2807113014421958</v>
      </c>
      <c r="P5" s="2">
        <f t="shared" si="1"/>
        <v>-9.6291238785184419E-4</v>
      </c>
    </row>
    <row r="6" spans="1:25" x14ac:dyDescent="0.2">
      <c r="K6">
        <v>5</v>
      </c>
      <c r="L6">
        <v>298.14999999999998</v>
      </c>
      <c r="M6">
        <v>0</v>
      </c>
      <c r="N6" s="2">
        <v>9.236439174278031</v>
      </c>
      <c r="O6" s="13">
        <f t="shared" si="0"/>
        <v>9.2370140897250295</v>
      </c>
      <c r="P6" s="2">
        <f t="shared" si="1"/>
        <v>-5.7491544699850294E-4</v>
      </c>
    </row>
    <row r="7" spans="1:25" x14ac:dyDescent="0.2">
      <c r="A7" s="10" t="s">
        <v>13</v>
      </c>
      <c r="K7">
        <v>6</v>
      </c>
      <c r="L7">
        <v>303.14999999999998</v>
      </c>
      <c r="M7">
        <v>0</v>
      </c>
      <c r="N7" s="2">
        <v>9.197493909256881</v>
      </c>
      <c r="O7" s="13">
        <f t="shared" si="0"/>
        <v>9.1974749517848053</v>
      </c>
      <c r="P7" s="2">
        <f t="shared" si="1"/>
        <v>1.8957472075697979E-5</v>
      </c>
    </row>
    <row r="8" spans="1:25" x14ac:dyDescent="0.2">
      <c r="A8" s="10" t="s">
        <v>32</v>
      </c>
      <c r="B8" t="s">
        <v>33</v>
      </c>
      <c r="C8" t="s">
        <v>34</v>
      </c>
      <c r="D8" t="s">
        <v>35</v>
      </c>
      <c r="E8" t="s">
        <v>36</v>
      </c>
      <c r="K8">
        <v>7</v>
      </c>
      <c r="L8">
        <v>308.14999999999998</v>
      </c>
      <c r="M8">
        <v>0</v>
      </c>
      <c r="N8" s="2">
        <v>9.1626525351283945</v>
      </c>
      <c r="O8" s="13">
        <f t="shared" si="0"/>
        <v>9.1618473988183879</v>
      </c>
      <c r="P8" s="2">
        <f t="shared" si="1"/>
        <v>8.0513631000656005E-4</v>
      </c>
    </row>
    <row r="9" spans="1:25" x14ac:dyDescent="0.2">
      <c r="A9" s="10">
        <v>-5.7968000000000004E-3</v>
      </c>
      <c r="B9">
        <v>-1.5009999999999999E-3</v>
      </c>
      <c r="C9">
        <v>-3.9320000000000002E-4</v>
      </c>
      <c r="D9">
        <v>1.8529E-3</v>
      </c>
      <c r="E9">
        <v>6.5761999999999999E-3</v>
      </c>
      <c r="K9">
        <v>8</v>
      </c>
      <c r="L9" s="3">
        <v>275.95999999999998</v>
      </c>
      <c r="M9">
        <v>1.5389999999999999</v>
      </c>
      <c r="N9" s="2">
        <v>9.2816954622092496</v>
      </c>
      <c r="O9" s="13">
        <f t="shared" si="0"/>
        <v>9.2809322705588659</v>
      </c>
      <c r="P9" s="2">
        <f t="shared" si="1"/>
        <v>7.6319165038363224E-4</v>
      </c>
    </row>
    <row r="10" spans="1:25" x14ac:dyDescent="0.2">
      <c r="A10" s="9"/>
      <c r="K10">
        <v>9</v>
      </c>
      <c r="L10" s="3">
        <v>283.66499999999996</v>
      </c>
      <c r="M10">
        <v>1.5389999999999999</v>
      </c>
      <c r="N10" s="2">
        <v>9.1898538180847282</v>
      </c>
      <c r="O10" s="13">
        <f t="shared" si="0"/>
        <v>9.1877144942553723</v>
      </c>
      <c r="P10" s="2">
        <f t="shared" si="1"/>
        <v>2.1393238293558881E-3</v>
      </c>
    </row>
    <row r="11" spans="1:25" x14ac:dyDescent="0.2">
      <c r="A11" s="10" t="s">
        <v>14</v>
      </c>
      <c r="K11">
        <v>10</v>
      </c>
      <c r="L11">
        <v>288.16999999999996</v>
      </c>
      <c r="M11">
        <v>1.5389999999999999</v>
      </c>
      <c r="N11" s="2">
        <v>9.1413505036630003</v>
      </c>
      <c r="O11" s="13">
        <f t="shared" si="0"/>
        <v>9.1382382044799062</v>
      </c>
      <c r="P11" s="2">
        <f t="shared" si="1"/>
        <v>3.1122991830940805E-3</v>
      </c>
    </row>
    <row r="12" spans="1:25" x14ac:dyDescent="0.2">
      <c r="A12" s="10"/>
      <c r="B12" t="s">
        <v>15</v>
      </c>
      <c r="C12" t="s">
        <v>16</v>
      </c>
      <c r="D12" t="s">
        <v>17</v>
      </c>
      <c r="F12" t="s">
        <v>18</v>
      </c>
      <c r="K12">
        <v>11</v>
      </c>
      <c r="L12" s="3">
        <v>293.13499999999999</v>
      </c>
      <c r="M12">
        <v>1.5389999999999999</v>
      </c>
      <c r="N12" s="2">
        <v>9.0894468798349664</v>
      </c>
      <c r="O12" s="13">
        <f t="shared" si="0"/>
        <v>9.0876200780638818</v>
      </c>
      <c r="P12" s="2">
        <f t="shared" si="1"/>
        <v>1.8268017710845186E-3</v>
      </c>
      <c r="T12" t="s">
        <v>15</v>
      </c>
      <c r="U12" t="s">
        <v>16</v>
      </c>
      <c r="V12" t="s">
        <v>17</v>
      </c>
      <c r="X12" t="s">
        <v>18</v>
      </c>
    </row>
    <row r="13" spans="1:25" x14ac:dyDescent="0.2">
      <c r="A13" s="10" t="s">
        <v>19</v>
      </c>
      <c r="B13">
        <v>-59.020390504650003</v>
      </c>
      <c r="C13">
        <v>3.4193038686900001</v>
      </c>
      <c r="D13">
        <v>-17.260999999999999</v>
      </c>
      <c r="E13" t="s">
        <v>20</v>
      </c>
      <c r="F13">
        <v>2E-16</v>
      </c>
      <c r="G13" t="s">
        <v>21</v>
      </c>
      <c r="K13">
        <v>12</v>
      </c>
      <c r="L13" s="3">
        <v>297.79999999999995</v>
      </c>
      <c r="M13">
        <v>1.5389999999999999</v>
      </c>
      <c r="N13" s="2">
        <v>9.0479737153482098</v>
      </c>
      <c r="O13" s="13">
        <f t="shared" si="0"/>
        <v>9.0435185057899012</v>
      </c>
      <c r="P13" s="2">
        <f t="shared" si="1"/>
        <v>4.4552095583085816E-3</v>
      </c>
      <c r="T13">
        <v>-59.341203053149997</v>
      </c>
      <c r="U13">
        <v>3.5725120351899999</v>
      </c>
      <c r="V13">
        <v>-16.61</v>
      </c>
      <c r="W13" t="s">
        <v>20</v>
      </c>
      <c r="X13">
        <v>2E-16</v>
      </c>
      <c r="Y13" t="s">
        <v>21</v>
      </c>
    </row>
    <row r="14" spans="1:25" x14ac:dyDescent="0.2">
      <c r="A14" s="10" t="s">
        <v>22</v>
      </c>
      <c r="B14">
        <v>-62.83007477316</v>
      </c>
      <c r="C14">
        <v>24.30445463281</v>
      </c>
      <c r="D14">
        <v>-2.585</v>
      </c>
      <c r="F14">
        <v>1.108E-2</v>
      </c>
      <c r="G14" t="s">
        <v>26</v>
      </c>
      <c r="J14" s="3">
        <f>L14-273</f>
        <v>30.375</v>
      </c>
      <c r="K14">
        <v>13</v>
      </c>
      <c r="L14" s="3">
        <v>303.375</v>
      </c>
      <c r="M14">
        <v>1.5389999999999999</v>
      </c>
      <c r="N14" s="2">
        <v>8.9999324605153781</v>
      </c>
      <c r="O14" s="13">
        <f t="shared" si="0"/>
        <v>8.9948577342514398</v>
      </c>
      <c r="P14" s="2">
        <f t="shared" si="1"/>
        <v>5.074726263938345E-3</v>
      </c>
      <c r="T14">
        <v>-68.263085211700002</v>
      </c>
      <c r="U14">
        <v>25.393460195039999</v>
      </c>
      <c r="V14">
        <v>-2.6880000000000002</v>
      </c>
      <c r="X14">
        <v>8.3300000000000006E-3</v>
      </c>
      <c r="Y14" t="s">
        <v>23</v>
      </c>
    </row>
    <row r="15" spans="1:25" x14ac:dyDescent="0.2">
      <c r="A15" s="10" t="s">
        <v>24</v>
      </c>
      <c r="B15" s="2">
        <v>3667.3418334918301</v>
      </c>
      <c r="C15">
        <v>150.15703036181</v>
      </c>
      <c r="D15">
        <v>24.422999999999998</v>
      </c>
      <c r="E15" t="s">
        <v>20</v>
      </c>
      <c r="F15">
        <v>2E-16</v>
      </c>
      <c r="G15" t="s">
        <v>21</v>
      </c>
      <c r="K15">
        <v>14</v>
      </c>
      <c r="L15">
        <v>307.20999999999998</v>
      </c>
      <c r="M15">
        <v>2.129</v>
      </c>
      <c r="N15" s="2">
        <v>8.9341368171409883</v>
      </c>
      <c r="O15" s="13">
        <f t="shared" si="0"/>
        <v>8.9351713199854164</v>
      </c>
      <c r="P15" s="2">
        <f t="shared" si="1"/>
        <v>-1.0345028444280757E-3</v>
      </c>
      <c r="T15" s="2">
        <v>3680.44522086401</v>
      </c>
      <c r="U15">
        <v>156.8850908652</v>
      </c>
      <c r="V15">
        <v>23.459</v>
      </c>
      <c r="W15" t="s">
        <v>20</v>
      </c>
      <c r="X15">
        <v>2E-16</v>
      </c>
      <c r="Y15" t="s">
        <v>21</v>
      </c>
    </row>
    <row r="16" spans="1:25" x14ac:dyDescent="0.2">
      <c r="A16" s="10" t="s">
        <v>25</v>
      </c>
      <c r="B16">
        <v>1427.6134475793301</v>
      </c>
      <c r="C16">
        <v>629.78758417297001</v>
      </c>
      <c r="D16">
        <v>2.2669999999999999</v>
      </c>
      <c r="F16">
        <v>2.5409999999999999E-2</v>
      </c>
      <c r="G16" t="s">
        <v>26</v>
      </c>
      <c r="K16">
        <v>15</v>
      </c>
      <c r="L16" s="3">
        <v>275.70999999999998</v>
      </c>
      <c r="M16">
        <v>3.0430000000000001</v>
      </c>
      <c r="N16" s="2">
        <v>9.2264391742780294</v>
      </c>
      <c r="O16" s="13">
        <f t="shared" si="0"/>
        <v>9.2272971989820984</v>
      </c>
      <c r="P16" s="2">
        <f t="shared" si="1"/>
        <v>-8.5802470406903808E-4</v>
      </c>
      <c r="T16">
        <v>1567.0230225330099</v>
      </c>
      <c r="U16">
        <v>658.00636927029996</v>
      </c>
      <c r="V16">
        <v>2.3809999999999998</v>
      </c>
      <c r="X16">
        <v>1.9009999999999999E-2</v>
      </c>
      <c r="Y16" t="s">
        <v>26</v>
      </c>
    </row>
    <row r="17" spans="1:25" x14ac:dyDescent="0.2">
      <c r="A17" s="10" t="s">
        <v>27</v>
      </c>
      <c r="B17">
        <v>-0.12256787249999999</v>
      </c>
      <c r="C17">
        <v>2.79925305E-3</v>
      </c>
      <c r="D17">
        <v>-43.786000000000001</v>
      </c>
      <c r="E17" t="s">
        <v>20</v>
      </c>
      <c r="F17">
        <v>2E-16</v>
      </c>
      <c r="G17" t="s">
        <v>21</v>
      </c>
      <c r="K17">
        <v>16</v>
      </c>
      <c r="L17" s="3">
        <v>283.70499999999998</v>
      </c>
      <c r="M17">
        <v>3.0430000000000001</v>
      </c>
      <c r="N17" s="2">
        <v>9.1325983446066221</v>
      </c>
      <c r="O17" s="13">
        <f t="shared" si="0"/>
        <v>9.1293004005904503</v>
      </c>
      <c r="P17" s="2">
        <f t="shared" si="1"/>
        <v>3.2979440161717832E-3</v>
      </c>
      <c r="T17">
        <v>-0.1223095324</v>
      </c>
      <c r="U17">
        <v>2.9246787100000002E-3</v>
      </c>
      <c r="V17">
        <v>-41.82</v>
      </c>
      <c r="W17" t="s">
        <v>20</v>
      </c>
      <c r="X17">
        <v>2E-16</v>
      </c>
      <c r="Y17" t="s">
        <v>21</v>
      </c>
    </row>
    <row r="18" spans="1:25" x14ac:dyDescent="0.2">
      <c r="A18" s="10" t="s">
        <v>28</v>
      </c>
      <c r="B18">
        <v>9.8211724357999994</v>
      </c>
      <c r="C18">
        <v>0.51167873615000004</v>
      </c>
      <c r="D18">
        <v>19.193999999999999</v>
      </c>
      <c r="E18" t="s">
        <v>20</v>
      </c>
      <c r="F18">
        <v>2E-16</v>
      </c>
      <c r="G18" t="s">
        <v>21</v>
      </c>
      <c r="J18" s="3">
        <f>L18-273</f>
        <v>15.370000000000005</v>
      </c>
      <c r="K18">
        <v>17</v>
      </c>
      <c r="L18">
        <v>288.37</v>
      </c>
      <c r="M18">
        <v>3.0430000000000001</v>
      </c>
      <c r="N18" s="2">
        <v>9.0824425061210228</v>
      </c>
      <c r="O18" s="13">
        <f t="shared" si="0"/>
        <v>9.0772858130491603</v>
      </c>
      <c r="P18" s="2">
        <f t="shared" si="1"/>
        <v>5.1566930718625059E-3</v>
      </c>
      <c r="T18">
        <v>9.8697681414900007</v>
      </c>
      <c r="U18">
        <v>0.53460543818999995</v>
      </c>
      <c r="V18">
        <v>18.462</v>
      </c>
      <c r="W18" t="s">
        <v>20</v>
      </c>
      <c r="X18">
        <v>2E-16</v>
      </c>
      <c r="Y18" t="s">
        <v>21</v>
      </c>
    </row>
    <row r="19" spans="1:25" x14ac:dyDescent="0.2">
      <c r="A19" s="10" t="s">
        <v>29</v>
      </c>
      <c r="B19">
        <v>11.352534551</v>
      </c>
      <c r="C19">
        <v>4.2742208546800002</v>
      </c>
      <c r="D19">
        <v>2.6560000000000001</v>
      </c>
      <c r="F19">
        <v>9.1199999999999996E-3</v>
      </c>
      <c r="G19" t="s">
        <v>23</v>
      </c>
      <c r="J19" s="3">
        <f>L19-273</f>
        <v>20.20999999999998</v>
      </c>
      <c r="K19">
        <v>18</v>
      </c>
      <c r="L19">
        <v>293.20999999999998</v>
      </c>
      <c r="M19">
        <v>3.0430000000000001</v>
      </c>
      <c r="N19" s="2">
        <v>9.0216627986934856</v>
      </c>
      <c r="O19" s="13">
        <f t="shared" si="0"/>
        <v>9.0269368791940447</v>
      </c>
      <c r="P19" s="2">
        <f t="shared" si="1"/>
        <v>-5.2740805005591085E-3</v>
      </c>
      <c r="T19">
        <v>12.31003722779</v>
      </c>
      <c r="U19">
        <v>4.4657351410599997</v>
      </c>
      <c r="V19">
        <v>2.7570000000000001</v>
      </c>
      <c r="X19">
        <v>6.8700000000000002E-3</v>
      </c>
      <c r="Y19" t="s">
        <v>23</v>
      </c>
    </row>
    <row r="20" spans="1:25" x14ac:dyDescent="0.2">
      <c r="A20" s="10" t="s">
        <v>30</v>
      </c>
      <c r="B20">
        <v>-2.2622091680000001E-2</v>
      </c>
      <c r="C20">
        <v>7.2477504599999997E-3</v>
      </c>
      <c r="D20">
        <v>-3.121</v>
      </c>
      <c r="F20">
        <v>2.32E-3</v>
      </c>
      <c r="G20" t="s">
        <v>23</v>
      </c>
      <c r="K20">
        <v>19</v>
      </c>
      <c r="L20">
        <v>297.81</v>
      </c>
      <c r="M20">
        <v>3.0430000000000001</v>
      </c>
      <c r="N20" s="2">
        <v>8.9785222278566614</v>
      </c>
      <c r="O20" s="13">
        <f t="shared" si="0"/>
        <v>8.9822168016334132</v>
      </c>
      <c r="P20" s="2">
        <f t="shared" si="1"/>
        <v>-3.6945737767517528E-3</v>
      </c>
      <c r="T20">
        <v>-2.4265694970000001E-2</v>
      </c>
      <c r="U20">
        <v>7.57249918E-3</v>
      </c>
      <c r="V20">
        <v>-3.2040000000000002</v>
      </c>
      <c r="X20">
        <v>1.7799999999999999E-3</v>
      </c>
      <c r="Y20" t="s">
        <v>23</v>
      </c>
    </row>
    <row r="21" spans="1:25" x14ac:dyDescent="0.2">
      <c r="A21" s="11" t="s">
        <v>31</v>
      </c>
      <c r="B21" s="14">
        <v>1.3402300000000001E-6</v>
      </c>
      <c r="C21">
        <v>3.2679999999999999E-8</v>
      </c>
      <c r="D21">
        <v>41.009</v>
      </c>
      <c r="E21" t="s">
        <v>20</v>
      </c>
      <c r="F21">
        <v>2E-16</v>
      </c>
      <c r="G21" t="s">
        <v>21</v>
      </c>
      <c r="K21">
        <v>20</v>
      </c>
      <c r="L21" s="3">
        <v>302.27</v>
      </c>
      <c r="M21">
        <v>3.0430000000000001</v>
      </c>
      <c r="N21" s="2">
        <v>8.9413681714099003</v>
      </c>
      <c r="O21" s="13">
        <f t="shared" si="0"/>
        <v>8.9415332301606387</v>
      </c>
      <c r="P21" s="2">
        <f t="shared" si="1"/>
        <v>-1.650587507384671E-4</v>
      </c>
      <c r="T21" s="14">
        <v>1.3384200000000001E-6</v>
      </c>
      <c r="U21">
        <v>3.4149999999999998E-8</v>
      </c>
      <c r="V21">
        <v>39.197000000000003</v>
      </c>
      <c r="W21" t="s">
        <v>20</v>
      </c>
      <c r="X21">
        <v>2E-16</v>
      </c>
      <c r="Y21" t="s">
        <v>21</v>
      </c>
    </row>
    <row r="22" spans="1:25" x14ac:dyDescent="0.2">
      <c r="K22">
        <v>21</v>
      </c>
      <c r="L22" s="3">
        <v>308.43999999999994</v>
      </c>
      <c r="M22">
        <v>3.0430000000000001</v>
      </c>
      <c r="N22" s="2">
        <v>8.8910888943408608</v>
      </c>
      <c r="O22" s="13">
        <f t="shared" si="0"/>
        <v>8.8892022668576871</v>
      </c>
      <c r="P22" s="2">
        <f t="shared" si="1"/>
        <v>1.8866274831736973E-3</v>
      </c>
    </row>
    <row r="23" spans="1:25" x14ac:dyDescent="0.2">
      <c r="K23">
        <v>22</v>
      </c>
      <c r="L23" s="3">
        <v>276.26666666666665</v>
      </c>
      <c r="M23">
        <v>4.4669999999999996</v>
      </c>
      <c r="N23" s="2">
        <v>9.1776028068965907</v>
      </c>
      <c r="O23" s="13">
        <f t="shared" si="0"/>
        <v>9.1810606951924001</v>
      </c>
      <c r="P23" s="2">
        <f t="shared" si="1"/>
        <v>-3.4578882958093971E-3</v>
      </c>
    </row>
    <row r="24" spans="1:25" x14ac:dyDescent="0.2">
      <c r="K24">
        <v>23</v>
      </c>
      <c r="L24">
        <v>283.55999999999995</v>
      </c>
      <c r="M24">
        <v>5.8970000000000002</v>
      </c>
      <c r="N24" s="2">
        <v>9.0541888318700003</v>
      </c>
      <c r="O24" s="13">
        <f t="shared" si="0"/>
        <v>9.0587268844800821</v>
      </c>
      <c r="P24" s="2">
        <f t="shared" si="1"/>
        <v>-4.5380526100817775E-3</v>
      </c>
    </row>
    <row r="25" spans="1:25" x14ac:dyDescent="0.2">
      <c r="K25">
        <v>24</v>
      </c>
      <c r="L25">
        <v>288.49</v>
      </c>
      <c r="M25">
        <v>5.8970000000000002</v>
      </c>
      <c r="N25" s="2">
        <v>9.007345225603359</v>
      </c>
      <c r="O25" s="13">
        <f t="shared" si="0"/>
        <v>9.0025173977818174</v>
      </c>
      <c r="P25" s="2">
        <f t="shared" si="1"/>
        <v>4.8278278215416748E-3</v>
      </c>
    </row>
    <row r="26" spans="1:25" x14ac:dyDescent="0.2">
      <c r="K26">
        <v>25</v>
      </c>
      <c r="L26">
        <v>293.2</v>
      </c>
      <c r="M26" s="4">
        <v>5.9045000000000005</v>
      </c>
      <c r="N26" s="2">
        <v>8.9526014268523291</v>
      </c>
      <c r="O26" s="13">
        <f t="shared" si="0"/>
        <v>8.9519534912165426</v>
      </c>
      <c r="P26" s="2">
        <f t="shared" si="1"/>
        <v>6.479356357864674E-4</v>
      </c>
    </row>
    <row r="27" spans="1:25" x14ac:dyDescent="0.2">
      <c r="K27">
        <v>26</v>
      </c>
      <c r="L27">
        <v>297.95</v>
      </c>
      <c r="M27">
        <v>5.9119999999999999</v>
      </c>
      <c r="N27" s="6">
        <v>8.9035137762001355</v>
      </c>
      <c r="O27" s="13">
        <f t="shared" si="0"/>
        <v>8.9039016975819525</v>
      </c>
      <c r="P27" s="2">
        <f t="shared" si="1"/>
        <v>-3.8792138181698022E-4</v>
      </c>
    </row>
    <row r="28" spans="1:25" x14ac:dyDescent="0.2">
      <c r="K28">
        <v>27</v>
      </c>
      <c r="L28">
        <v>302.53999999999996</v>
      </c>
      <c r="M28">
        <v>5.8970000000000002</v>
      </c>
      <c r="N28" s="2">
        <v>8.8553200332502069</v>
      </c>
      <c r="O28" s="13">
        <f t="shared" si="0"/>
        <v>8.8605048057332123</v>
      </c>
      <c r="P28" s="2">
        <f t="shared" si="1"/>
        <v>-5.1847724830054176E-3</v>
      </c>
    </row>
    <row r="29" spans="1:25" x14ac:dyDescent="0.2">
      <c r="K29">
        <v>28</v>
      </c>
      <c r="L29">
        <v>307.60999999999996</v>
      </c>
      <c r="M29">
        <v>5.8970000000000002</v>
      </c>
      <c r="N29" s="6">
        <v>8.8097999999999992</v>
      </c>
      <c r="O29" s="13">
        <f t="shared" si="0"/>
        <v>8.8148095385355383</v>
      </c>
      <c r="P29" s="2">
        <f t="shared" si="1"/>
        <v>-5.0095385355390931E-3</v>
      </c>
    </row>
    <row r="30" spans="1:25" x14ac:dyDescent="0.2">
      <c r="K30">
        <v>29</v>
      </c>
      <c r="L30" s="3">
        <v>275.41999999999996</v>
      </c>
      <c r="M30">
        <v>14.657</v>
      </c>
      <c r="N30" s="6">
        <v>9.0356803419232197</v>
      </c>
      <c r="O30" s="13">
        <f t="shared" si="0"/>
        <v>9.0318798035877847</v>
      </c>
      <c r="P30" s="2">
        <f t="shared" si="1"/>
        <v>3.800538335434922E-3</v>
      </c>
    </row>
    <row r="31" spans="1:25" x14ac:dyDescent="0.2">
      <c r="K31">
        <v>30</v>
      </c>
      <c r="L31" s="3">
        <v>283.47999999999996</v>
      </c>
      <c r="M31">
        <v>14.657</v>
      </c>
      <c r="N31" s="6">
        <v>8.9275832146671412</v>
      </c>
      <c r="O31" s="13">
        <f t="shared" si="0"/>
        <v>8.9285537930857295</v>
      </c>
      <c r="P31" s="2">
        <f t="shared" si="1"/>
        <v>-9.7057841858827487E-4</v>
      </c>
    </row>
    <row r="32" spans="1:25" x14ac:dyDescent="0.2">
      <c r="K32">
        <v>31</v>
      </c>
      <c r="L32" s="3">
        <v>288.64499999999998</v>
      </c>
      <c r="M32" s="1">
        <v>14.52</v>
      </c>
      <c r="N32" s="2">
        <v>8.8662283578174197</v>
      </c>
      <c r="O32" s="13">
        <f t="shared" si="0"/>
        <v>8.8687917466565107</v>
      </c>
      <c r="P32" s="2">
        <f t="shared" si="1"/>
        <v>-2.5633888390910187E-3</v>
      </c>
    </row>
    <row r="33" spans="10:16" x14ac:dyDescent="0.2">
      <c r="J33" s="3">
        <f>L33-273</f>
        <v>20.154999999999973</v>
      </c>
      <c r="K33">
        <v>32</v>
      </c>
      <c r="L33" s="3">
        <v>293.15499999999997</v>
      </c>
      <c r="M33" s="1">
        <v>14.52</v>
      </c>
      <c r="N33" s="2">
        <v>8.8124363073749308</v>
      </c>
      <c r="O33" s="13">
        <f t="shared" si="0"/>
        <v>8.8179019488287125</v>
      </c>
      <c r="P33" s="2">
        <f t="shared" si="1"/>
        <v>-5.4656414537817E-3</v>
      </c>
    </row>
    <row r="34" spans="10:16" x14ac:dyDescent="0.2">
      <c r="K34">
        <v>33</v>
      </c>
      <c r="L34" s="3">
        <v>297.97499999999997</v>
      </c>
      <c r="M34">
        <v>15.743</v>
      </c>
      <c r="N34" s="6">
        <v>8.7530373140635582</v>
      </c>
      <c r="O34" s="13">
        <f t="shared" si="0"/>
        <v>8.7515146708764302</v>
      </c>
      <c r="P34" s="2">
        <f t="shared" si="1"/>
        <v>1.5226431871280255E-3</v>
      </c>
    </row>
    <row r="35" spans="10:16" x14ac:dyDescent="0.2">
      <c r="K35">
        <v>34</v>
      </c>
      <c r="L35" s="3">
        <v>302.92499999999995</v>
      </c>
      <c r="M35">
        <v>15.743</v>
      </c>
      <c r="N35" s="2">
        <v>8.702070864505405</v>
      </c>
      <c r="O35" s="13">
        <f t="shared" si="0"/>
        <v>8.6998182535998136</v>
      </c>
      <c r="P35" s="2">
        <f t="shared" si="1"/>
        <v>2.2526109055913679E-3</v>
      </c>
    </row>
    <row r="36" spans="10:16" x14ac:dyDescent="0.2">
      <c r="K36">
        <v>35</v>
      </c>
      <c r="L36">
        <v>307.89</v>
      </c>
      <c r="M36" s="1">
        <v>14.52</v>
      </c>
      <c r="N36" s="2">
        <v>8.6611999999999991</v>
      </c>
      <c r="O36" s="13">
        <f t="shared" si="0"/>
        <v>8.6651427897776401</v>
      </c>
      <c r="P36" s="2">
        <f t="shared" si="1"/>
        <v>-3.9427897776409537E-3</v>
      </c>
    </row>
    <row r="37" spans="10:16" x14ac:dyDescent="0.2">
      <c r="K37">
        <v>36</v>
      </c>
      <c r="L37" s="3">
        <v>275.38</v>
      </c>
      <c r="M37" s="4">
        <v>24.65</v>
      </c>
      <c r="N37" s="2">
        <v>8.9433744863989997</v>
      </c>
      <c r="O37" s="13">
        <f t="shared" si="0"/>
        <v>8.9437118357959857</v>
      </c>
      <c r="P37" s="2">
        <f t="shared" si="1"/>
        <v>-3.3734939698604194E-4</v>
      </c>
    </row>
    <row r="38" spans="10:16" x14ac:dyDescent="0.2">
      <c r="K38">
        <v>37</v>
      </c>
      <c r="L38" s="3">
        <v>283.58499999999998</v>
      </c>
      <c r="M38" s="4">
        <v>24.65</v>
      </c>
      <c r="N38" s="2">
        <v>8.8398284531861879</v>
      </c>
      <c r="O38" s="13">
        <f t="shared" si="0"/>
        <v>8.8366817177843746</v>
      </c>
      <c r="P38" s="2">
        <f t="shared" si="1"/>
        <v>3.1467354018133165E-3</v>
      </c>
    </row>
    <row r="39" spans="10:16" x14ac:dyDescent="0.2">
      <c r="K39">
        <v>38</v>
      </c>
      <c r="L39">
        <v>288.58</v>
      </c>
      <c r="M39" s="4">
        <v>24.65</v>
      </c>
      <c r="N39" s="2">
        <v>8.7743529206016078</v>
      </c>
      <c r="O39" s="13">
        <f t="shared" si="0"/>
        <v>8.7756459646466354</v>
      </c>
      <c r="P39" s="2">
        <f t="shared" si="1"/>
        <v>-1.2930440450276137E-3</v>
      </c>
    </row>
    <row r="40" spans="10:16" x14ac:dyDescent="0.2">
      <c r="K40">
        <v>39</v>
      </c>
      <c r="L40" s="3">
        <v>293.30499999999995</v>
      </c>
      <c r="M40" s="4">
        <v>24.65</v>
      </c>
      <c r="N40" s="2">
        <v>8.7233808234485117</v>
      </c>
      <c r="O40" s="13">
        <f t="shared" si="0"/>
        <v>8.7202241446224864</v>
      </c>
      <c r="P40" s="2">
        <f t="shared" si="1"/>
        <v>3.1566788260253276E-3</v>
      </c>
    </row>
    <row r="41" spans="10:16" x14ac:dyDescent="0.2">
      <c r="K41">
        <v>40</v>
      </c>
      <c r="L41">
        <v>298.35000000000002</v>
      </c>
      <c r="M41" s="4">
        <v>24.65</v>
      </c>
      <c r="N41" s="2">
        <v>8.6677184646426415</v>
      </c>
      <c r="O41" s="13">
        <f t="shared" si="0"/>
        <v>8.6630922130077312</v>
      </c>
      <c r="P41" s="2">
        <f t="shared" si="1"/>
        <v>4.6262516349102611E-3</v>
      </c>
    </row>
    <row r="42" spans="10:16" x14ac:dyDescent="0.2">
      <c r="K42">
        <v>41</v>
      </c>
      <c r="L42">
        <v>301.95999999999998</v>
      </c>
      <c r="M42" s="4">
        <v>24.65</v>
      </c>
      <c r="N42" s="2">
        <v>8.6204332917705724</v>
      </c>
      <c r="O42" s="13">
        <f t="shared" si="0"/>
        <v>8.6232738860296649</v>
      </c>
      <c r="P42" s="2">
        <f t="shared" si="1"/>
        <v>-2.8405942590925548E-3</v>
      </c>
    </row>
    <row r="43" spans="10:16" x14ac:dyDescent="0.2">
      <c r="J43" s="3">
        <f>L43-273</f>
        <v>33.979999999999961</v>
      </c>
      <c r="K43">
        <v>42</v>
      </c>
      <c r="L43">
        <v>306.97999999999996</v>
      </c>
      <c r="M43" s="4">
        <v>24.65</v>
      </c>
      <c r="N43" s="2">
        <v>8.5634872015048007</v>
      </c>
      <c r="O43" s="13">
        <f t="shared" si="0"/>
        <v>8.5690751614877048</v>
      </c>
      <c r="P43" s="2">
        <f t="shared" si="1"/>
        <v>-5.5879599829040671E-3</v>
      </c>
    </row>
    <row r="44" spans="10:16" x14ac:dyDescent="0.2">
      <c r="K44">
        <v>43</v>
      </c>
      <c r="L44" s="3">
        <v>275.495</v>
      </c>
      <c r="M44" s="4">
        <v>35.795000000000002</v>
      </c>
      <c r="N44" s="2">
        <v>8.8763578473235789</v>
      </c>
      <c r="O44" s="13">
        <f t="shared" si="0"/>
        <v>8.8759666119581837</v>
      </c>
      <c r="P44" s="2">
        <f t="shared" si="1"/>
        <v>3.9123536539520387E-4</v>
      </c>
    </row>
    <row r="45" spans="10:16" x14ac:dyDescent="0.2">
      <c r="K45">
        <v>44</v>
      </c>
      <c r="L45">
        <v>283.64</v>
      </c>
      <c r="M45">
        <v>35.723999999999997</v>
      </c>
      <c r="N45" s="2">
        <v>8.7697320279751008</v>
      </c>
      <c r="O45" s="13">
        <f t="shared" si="0"/>
        <v>8.7688377125761043</v>
      </c>
      <c r="P45" s="2">
        <f t="shared" si="1"/>
        <v>8.9431539899642587E-4</v>
      </c>
    </row>
    <row r="46" spans="10:16" x14ac:dyDescent="0.2">
      <c r="K46">
        <v>45</v>
      </c>
      <c r="L46">
        <v>287.95999999999998</v>
      </c>
      <c r="M46">
        <v>36.853999999999999</v>
      </c>
      <c r="N46" s="2">
        <v>8.7066172612801669</v>
      </c>
      <c r="O46" s="13">
        <f t="shared" si="0"/>
        <v>8.7091900127291435</v>
      </c>
      <c r="P46" s="2">
        <f t="shared" si="1"/>
        <v>-2.5727514489766179E-3</v>
      </c>
    </row>
    <row r="47" spans="10:16" x14ac:dyDescent="0.2">
      <c r="K47">
        <v>46</v>
      </c>
      <c r="L47">
        <v>293.13</v>
      </c>
      <c r="M47">
        <v>35.570999999999998</v>
      </c>
      <c r="N47" s="2">
        <v>8.6511679130135803</v>
      </c>
      <c r="O47" s="13">
        <f t="shared" si="0"/>
        <v>8.6529764320581268</v>
      </c>
      <c r="P47" s="2">
        <f t="shared" si="1"/>
        <v>-1.808519044546486E-3</v>
      </c>
    </row>
    <row r="48" spans="10:16" x14ac:dyDescent="0.2">
      <c r="K48">
        <v>47</v>
      </c>
      <c r="L48">
        <v>297.67999999999995</v>
      </c>
      <c r="M48">
        <v>35.564</v>
      </c>
      <c r="N48" s="2">
        <v>8.6022861730899294</v>
      </c>
      <c r="O48" s="13">
        <f t="shared" si="0"/>
        <v>8.5993854295689705</v>
      </c>
      <c r="P48" s="2">
        <f t="shared" si="1"/>
        <v>2.9007435209589261E-3</v>
      </c>
    </row>
    <row r="49" spans="10:16" x14ac:dyDescent="0.2">
      <c r="K49">
        <v>48</v>
      </c>
      <c r="L49">
        <v>303.14999999999998</v>
      </c>
      <c r="M49">
        <v>35.723999999999997</v>
      </c>
      <c r="N49" s="2">
        <v>8.5391832917705734</v>
      </c>
      <c r="O49" s="13">
        <f t="shared" si="0"/>
        <v>8.5353293744464303</v>
      </c>
      <c r="P49" s="2">
        <f t="shared" si="1"/>
        <v>3.8539173241431968E-3</v>
      </c>
    </row>
    <row r="50" spans="10:16" x14ac:dyDescent="0.2">
      <c r="K50">
        <v>49</v>
      </c>
      <c r="L50" s="3">
        <v>307.22499999999997</v>
      </c>
      <c r="M50">
        <v>35.723999999999997</v>
      </c>
      <c r="N50" s="2">
        <v>8.4930603123977768</v>
      </c>
      <c r="O50" s="13">
        <f t="shared" si="0"/>
        <v>8.4888743842427576</v>
      </c>
      <c r="P50" s="2">
        <f t="shared" si="1"/>
        <v>4.1859281550191696E-3</v>
      </c>
    </row>
    <row r="51" spans="10:16" x14ac:dyDescent="0.2">
      <c r="K51">
        <v>50</v>
      </c>
      <c r="L51" s="3">
        <v>275.14999999999998</v>
      </c>
      <c r="M51">
        <v>45.658000000000001</v>
      </c>
      <c r="N51" s="2">
        <v>8.8384531861899998</v>
      </c>
      <c r="O51" s="13">
        <f t="shared" si="0"/>
        <v>8.8399951521196236</v>
      </c>
      <c r="P51" s="2">
        <f t="shared" si="1"/>
        <v>-1.5419659296238564E-3</v>
      </c>
    </row>
    <row r="52" spans="10:16" x14ac:dyDescent="0.2">
      <c r="K52">
        <v>51</v>
      </c>
      <c r="L52">
        <v>283.65999999999997</v>
      </c>
      <c r="M52">
        <v>45.658000000000001</v>
      </c>
      <c r="N52" s="6">
        <v>8.7259645336418661</v>
      </c>
      <c r="O52" s="13">
        <f t="shared" si="0"/>
        <v>8.7267534999169847</v>
      </c>
      <c r="P52" s="2">
        <f t="shared" si="1"/>
        <v>-7.8896627511859663E-4</v>
      </c>
    </row>
    <row r="53" spans="10:16" x14ac:dyDescent="0.2">
      <c r="K53">
        <v>52</v>
      </c>
      <c r="L53">
        <v>288.45999999999998</v>
      </c>
      <c r="M53">
        <v>45.865000000000002</v>
      </c>
      <c r="N53" s="2">
        <v>8.6652015770473199</v>
      </c>
      <c r="O53" s="13">
        <f t="shared" si="0"/>
        <v>8.665255408595085</v>
      </c>
      <c r="P53" s="2">
        <f t="shared" si="1"/>
        <v>-5.383154776517074E-5</v>
      </c>
    </row>
    <row r="54" spans="10:16" x14ac:dyDescent="0.2">
      <c r="K54">
        <v>53</v>
      </c>
      <c r="L54">
        <v>293.38</v>
      </c>
      <c r="M54">
        <v>45.865000000000002</v>
      </c>
      <c r="N54" s="2">
        <v>8.6086309523809526</v>
      </c>
      <c r="O54" s="13">
        <f t="shared" si="0"/>
        <v>8.6046186540696716</v>
      </c>
      <c r="P54" s="2">
        <f t="shared" si="1"/>
        <v>4.0122983112809152E-3</v>
      </c>
    </row>
    <row r="55" spans="10:16" x14ac:dyDescent="0.2">
      <c r="J55" s="3">
        <f>L55-273</f>
        <v>24.829999999999984</v>
      </c>
      <c r="K55">
        <v>54</v>
      </c>
      <c r="L55">
        <v>297.83</v>
      </c>
      <c r="M55">
        <v>45.865000000000002</v>
      </c>
      <c r="N55" s="2">
        <v>8.5453426132522008</v>
      </c>
      <c r="O55" s="13">
        <f t="shared" si="0"/>
        <v>8.5508089821512439</v>
      </c>
      <c r="P55" s="2">
        <f t="shared" si="1"/>
        <v>-5.4663688990430614E-3</v>
      </c>
    </row>
    <row r="56" spans="10:16" x14ac:dyDescent="0.2">
      <c r="K56">
        <v>55</v>
      </c>
      <c r="L56">
        <v>302.07</v>
      </c>
      <c r="M56">
        <v>45.865000000000002</v>
      </c>
      <c r="N56" s="2">
        <v>8.4994064415700006</v>
      </c>
      <c r="O56" s="13">
        <f t="shared" si="0"/>
        <v>8.5001367395303564</v>
      </c>
      <c r="P56" s="2">
        <f t="shared" si="1"/>
        <v>-7.3029796035584127E-4</v>
      </c>
    </row>
    <row r="57" spans="10:16" x14ac:dyDescent="0.2">
      <c r="K57">
        <v>56</v>
      </c>
      <c r="L57">
        <v>307.74</v>
      </c>
      <c r="M57">
        <v>45.865000000000002</v>
      </c>
      <c r="N57" s="2">
        <v>8.4350603123977805</v>
      </c>
      <c r="O57" s="13">
        <f t="shared" si="0"/>
        <v>8.4328237464682729</v>
      </c>
      <c r="P57" s="2">
        <f t="shared" si="1"/>
        <v>2.2365659295076057E-3</v>
      </c>
    </row>
    <row r="58" spans="10:16" x14ac:dyDescent="0.2">
      <c r="K58">
        <v>57</v>
      </c>
      <c r="L58">
        <v>273.14999999999998</v>
      </c>
      <c r="M58">
        <v>0</v>
      </c>
      <c r="N58" s="2">
        <v>9.5025585923890397</v>
      </c>
      <c r="O58" s="13">
        <f t="shared" si="0"/>
        <v>9.5027036225440753</v>
      </c>
      <c r="P58" s="2">
        <f t="shared" si="1"/>
        <v>-1.4503015503564143E-4</v>
      </c>
    </row>
    <row r="59" spans="10:16" x14ac:dyDescent="0.2">
      <c r="K59">
        <v>58</v>
      </c>
      <c r="L59">
        <v>278.14999999999998</v>
      </c>
      <c r="M59">
        <v>0</v>
      </c>
      <c r="N59" s="2">
        <v>9.4387683825509363</v>
      </c>
      <c r="O59" s="13">
        <f t="shared" si="0"/>
        <v>9.4395076390166466</v>
      </c>
      <c r="P59" s="2">
        <f t="shared" si="1"/>
        <v>-7.3925646571026959E-4</v>
      </c>
    </row>
    <row r="60" spans="10:16" x14ac:dyDescent="0.2">
      <c r="K60">
        <v>59</v>
      </c>
      <c r="L60">
        <v>283.14999999999998</v>
      </c>
      <c r="M60">
        <v>0</v>
      </c>
      <c r="N60" s="2">
        <v>9.3805996831057872</v>
      </c>
      <c r="O60" s="13">
        <f t="shared" si="0"/>
        <v>9.3816612230392664</v>
      </c>
      <c r="P60" s="2">
        <f t="shared" si="1"/>
        <v>-1.0615399334792386E-3</v>
      </c>
    </row>
    <row r="61" spans="10:16" x14ac:dyDescent="0.2">
      <c r="K61">
        <v>60</v>
      </c>
      <c r="L61">
        <v>288.14999999999998</v>
      </c>
      <c r="M61">
        <v>0</v>
      </c>
      <c r="N61" s="2">
        <v>9.327701400560402</v>
      </c>
      <c r="O61" s="13">
        <f t="shared" si="0"/>
        <v>9.3288317925090425</v>
      </c>
      <c r="P61" s="2">
        <f t="shared" si="1"/>
        <v>-1.1303919486405078E-3</v>
      </c>
    </row>
    <row r="62" spans="10:16" x14ac:dyDescent="0.2">
      <c r="K62">
        <v>61</v>
      </c>
      <c r="L62">
        <v>293.14999999999998</v>
      </c>
      <c r="M62">
        <v>0</v>
      </c>
      <c r="N62" s="2">
        <v>9.279748389054344</v>
      </c>
      <c r="O62" s="13">
        <f t="shared" si="0"/>
        <v>9.2807113014421958</v>
      </c>
      <c r="P62" s="2">
        <f t="shared" si="1"/>
        <v>-9.6291238785184419E-4</v>
      </c>
    </row>
    <row r="63" spans="10:16" x14ac:dyDescent="0.2">
      <c r="K63">
        <v>62</v>
      </c>
      <c r="L63">
        <v>298.14999999999998</v>
      </c>
      <c r="M63">
        <v>0</v>
      </c>
      <c r="N63" s="2">
        <v>9.236439174278031</v>
      </c>
      <c r="O63" s="13">
        <f t="shared" si="0"/>
        <v>9.2370140897250295</v>
      </c>
      <c r="P63" s="2">
        <f t="shared" si="1"/>
        <v>-5.7491544699850294E-4</v>
      </c>
    </row>
    <row r="64" spans="10:16" x14ac:dyDescent="0.2">
      <c r="K64">
        <v>63</v>
      </c>
      <c r="L64">
        <v>303.14999999999998</v>
      </c>
      <c r="M64">
        <v>0</v>
      </c>
      <c r="N64" s="2">
        <v>9.197493909256881</v>
      </c>
      <c r="O64" s="13">
        <f t="shared" si="0"/>
        <v>9.1974749517848053</v>
      </c>
      <c r="P64" s="2">
        <f t="shared" si="1"/>
        <v>1.8957472075697979E-5</v>
      </c>
    </row>
    <row r="65" spans="11:16" x14ac:dyDescent="0.2">
      <c r="K65">
        <v>64</v>
      </c>
      <c r="L65">
        <v>308.14999999999998</v>
      </c>
      <c r="M65">
        <v>0</v>
      </c>
      <c r="N65" s="2">
        <v>9.1626525351283945</v>
      </c>
      <c r="O65" s="13">
        <f t="shared" si="0"/>
        <v>9.1618473988183879</v>
      </c>
      <c r="P65" s="2">
        <f t="shared" si="1"/>
        <v>8.0513631000656005E-4</v>
      </c>
    </row>
    <row r="66" spans="11:16" x14ac:dyDescent="0.2">
      <c r="K66">
        <v>65</v>
      </c>
      <c r="L66">
        <v>313.14999999999998</v>
      </c>
      <c r="M66">
        <v>0</v>
      </c>
      <c r="N66" s="2">
        <v>9.1316731235234538</v>
      </c>
      <c r="O66" s="13">
        <f t="shared" si="0"/>
        <v>9.1299020925029524</v>
      </c>
      <c r="P66" s="2">
        <f t="shared" si="1"/>
        <v>1.7710310205014679E-3</v>
      </c>
    </row>
    <row r="67" spans="11:16" x14ac:dyDescent="0.2">
      <c r="K67">
        <v>66</v>
      </c>
      <c r="L67">
        <v>318.14999999999998</v>
      </c>
      <c r="M67">
        <v>0</v>
      </c>
      <c r="N67" s="2">
        <v>9.104330380148129</v>
      </c>
      <c r="O67" s="13">
        <f t="shared" ref="O67:O117" si="2">$B$13+$B$14*M67^0.5+$B$15*1/L67+$B$16*M67^0.5/L67+$B$17*(M67^0.5/(1+M67^0.5))+$B$18*LN(L67)+$B$19*M67^0.5*LN(L67)+$B$20*M67^0.5*L67+$B$21*M67^1.5*L67</f>
        <v>9.1014254309309166</v>
      </c>
      <c r="P67" s="2">
        <f t="shared" ref="P67:P117" si="3">N67-O67</f>
        <v>2.9049492172124047E-3</v>
      </c>
    </row>
    <row r="68" spans="11:16" x14ac:dyDescent="0.2">
      <c r="K68">
        <v>67</v>
      </c>
      <c r="L68">
        <v>273.14999999999998</v>
      </c>
      <c r="M68">
        <v>5</v>
      </c>
      <c r="N68" s="2">
        <v>9.2104739427559732</v>
      </c>
      <c r="O68" s="13">
        <f t="shared" si="2"/>
        <v>9.2099926056350263</v>
      </c>
      <c r="P68" s="2">
        <f t="shared" si="3"/>
        <v>4.8133712094688974E-4</v>
      </c>
    </row>
    <row r="69" spans="11:16" x14ac:dyDescent="0.2">
      <c r="K69">
        <v>68</v>
      </c>
      <c r="L69">
        <v>278.14999999999998</v>
      </c>
      <c r="M69">
        <v>5</v>
      </c>
      <c r="N69" s="2">
        <v>9.1443308931621079</v>
      </c>
      <c r="O69" s="13">
        <f t="shared" si="2"/>
        <v>9.1443389845860406</v>
      </c>
      <c r="P69" s="2">
        <f t="shared" si="3"/>
        <v>-8.0914239326546067E-6</v>
      </c>
    </row>
    <row r="70" spans="11:16" x14ac:dyDescent="0.2">
      <c r="K70">
        <v>69</v>
      </c>
      <c r="L70">
        <v>283.14999999999998</v>
      </c>
      <c r="M70">
        <v>5</v>
      </c>
      <c r="N70" s="2">
        <v>9.0830085123173703</v>
      </c>
      <c r="O70" s="13">
        <f t="shared" si="2"/>
        <v>9.0832502512647935</v>
      </c>
      <c r="P70" s="2">
        <f t="shared" si="3"/>
        <v>-2.417389474231868E-4</v>
      </c>
    </row>
    <row r="71" spans="11:16" x14ac:dyDescent="0.2">
      <c r="K71">
        <v>70</v>
      </c>
      <c r="L71">
        <v>288.14999999999998</v>
      </c>
      <c r="M71">
        <v>5</v>
      </c>
      <c r="N71" s="2">
        <v>9.0261593646362339</v>
      </c>
      <c r="O71" s="13">
        <f t="shared" si="2"/>
        <v>9.0262948274528902</v>
      </c>
      <c r="P71" s="2">
        <f t="shared" si="3"/>
        <v>-1.3546281665632876E-4</v>
      </c>
    </row>
    <row r="72" spans="11:16" x14ac:dyDescent="0.2">
      <c r="K72">
        <v>71</v>
      </c>
      <c r="L72">
        <v>293.14999999999998</v>
      </c>
      <c r="M72">
        <v>5</v>
      </c>
      <c r="N72" s="2">
        <v>8.9728714317067038</v>
      </c>
      <c r="O72" s="13">
        <f t="shared" si="2"/>
        <v>8.9730771961149287</v>
      </c>
      <c r="P72" s="2">
        <f t="shared" si="3"/>
        <v>-2.0576440822495101E-4</v>
      </c>
    </row>
    <row r="73" spans="11:16" x14ac:dyDescent="0.2">
      <c r="K73">
        <v>72</v>
      </c>
      <c r="L73">
        <v>298.14999999999998</v>
      </c>
      <c r="M73">
        <v>5</v>
      </c>
      <c r="N73" s="2">
        <v>8.9232750018733533</v>
      </c>
      <c r="O73" s="13">
        <f t="shared" si="2"/>
        <v>8.9232345446845844</v>
      </c>
      <c r="P73" s="2">
        <f t="shared" si="3"/>
        <v>4.0457188768883157E-5</v>
      </c>
    </row>
    <row r="74" spans="11:16" x14ac:dyDescent="0.2">
      <c r="K74">
        <v>73</v>
      </c>
      <c r="L74">
        <v>303.14999999999998</v>
      </c>
      <c r="M74">
        <v>5</v>
      </c>
      <c r="N74" s="2">
        <v>8.8765014861723746</v>
      </c>
      <c r="O74" s="13">
        <f t="shared" si="2"/>
        <v>8.8764337625069238</v>
      </c>
      <c r="P74" s="2">
        <f t="shared" si="3"/>
        <v>6.7723665450714066E-5</v>
      </c>
    </row>
    <row r="75" spans="11:16" x14ac:dyDescent="0.2">
      <c r="K75">
        <v>74</v>
      </c>
      <c r="L75">
        <v>308.14999999999998</v>
      </c>
      <c r="M75">
        <v>5</v>
      </c>
      <c r="N75" s="2">
        <v>8.8322034490182428</v>
      </c>
      <c r="O75" s="13">
        <f t="shared" si="2"/>
        <v>8.8323687504281576</v>
      </c>
      <c r="P75" s="2">
        <f t="shared" si="3"/>
        <v>-1.6530140991477538E-4</v>
      </c>
    </row>
    <row r="76" spans="11:16" x14ac:dyDescent="0.2">
      <c r="K76">
        <v>75</v>
      </c>
      <c r="L76">
        <v>313.14999999999998</v>
      </c>
      <c r="M76">
        <v>5</v>
      </c>
      <c r="N76" s="2">
        <v>8.7895991603435313</v>
      </c>
      <c r="O76" s="13">
        <f t="shared" si="2"/>
        <v>8.7907580060610222</v>
      </c>
      <c r="P76" s="2">
        <f t="shared" si="3"/>
        <v>-1.1588457174909195E-3</v>
      </c>
    </row>
    <row r="77" spans="11:16" x14ac:dyDescent="0.2">
      <c r="K77">
        <v>76</v>
      </c>
      <c r="L77">
        <v>318.14999999999998</v>
      </c>
      <c r="M77">
        <v>5</v>
      </c>
      <c r="N77" s="2">
        <v>8.7489057673891981</v>
      </c>
      <c r="O77" s="13">
        <f t="shared" si="2"/>
        <v>8.7513424529892543</v>
      </c>
      <c r="P77" s="2">
        <f t="shared" si="3"/>
        <v>-2.4366856000561654E-3</v>
      </c>
    </row>
    <row r="78" spans="11:16" x14ac:dyDescent="0.2">
      <c r="K78">
        <v>77</v>
      </c>
      <c r="L78">
        <v>273.14999999999998</v>
      </c>
      <c r="M78">
        <v>15</v>
      </c>
      <c r="N78" s="2">
        <v>9.0580365796079327</v>
      </c>
      <c r="O78" s="13">
        <f t="shared" si="2"/>
        <v>9.0591676909224823</v>
      </c>
      <c r="P78" s="2">
        <f t="shared" si="3"/>
        <v>-1.131111314549571E-3</v>
      </c>
    </row>
    <row r="79" spans="11:16" x14ac:dyDescent="0.2">
      <c r="K79">
        <v>78</v>
      </c>
      <c r="L79">
        <v>278.14999999999998</v>
      </c>
      <c r="M79">
        <v>15</v>
      </c>
      <c r="N79" s="2">
        <v>8.9911986588430217</v>
      </c>
      <c r="O79" s="13">
        <f t="shared" si="2"/>
        <v>8.9919744887646953</v>
      </c>
      <c r="P79" s="2">
        <f t="shared" si="3"/>
        <v>-7.7582992167357645E-4</v>
      </c>
    </row>
    <row r="80" spans="11:16" x14ac:dyDescent="0.2">
      <c r="K80">
        <v>79</v>
      </c>
      <c r="L80">
        <v>283.14999999999998</v>
      </c>
      <c r="M80">
        <v>15</v>
      </c>
      <c r="N80" s="2">
        <v>8.9279219528297187</v>
      </c>
      <c r="O80" s="13">
        <f t="shared" si="2"/>
        <v>8.9287717488370024</v>
      </c>
      <c r="P80" s="2">
        <f t="shared" si="3"/>
        <v>-8.4979600728374294E-4</v>
      </c>
    </row>
    <row r="81" spans="11:16" x14ac:dyDescent="0.2">
      <c r="K81">
        <v>80</v>
      </c>
      <c r="L81">
        <v>288.14999999999998</v>
      </c>
      <c r="M81">
        <v>15</v>
      </c>
      <c r="N81" s="2">
        <v>8.8682498910162124</v>
      </c>
      <c r="O81" s="13">
        <f t="shared" si="2"/>
        <v>8.8690554227347498</v>
      </c>
      <c r="P81" s="2">
        <f t="shared" si="3"/>
        <v>-8.0553171853736671E-4</v>
      </c>
    </row>
    <row r="82" spans="11:16" x14ac:dyDescent="0.2">
      <c r="K82">
        <v>81</v>
      </c>
      <c r="L82">
        <v>293.14999999999998</v>
      </c>
      <c r="M82">
        <v>15</v>
      </c>
      <c r="N82" s="2">
        <v>8.8115310316796478</v>
      </c>
      <c r="O82" s="13">
        <f t="shared" si="2"/>
        <v>8.8123659601684459</v>
      </c>
      <c r="P82" s="2">
        <f t="shared" si="3"/>
        <v>-8.3492848879807013E-4</v>
      </c>
    </row>
    <row r="83" spans="11:16" x14ac:dyDescent="0.2">
      <c r="K83">
        <v>82</v>
      </c>
      <c r="L83">
        <v>298.14999999999998</v>
      </c>
      <c r="M83">
        <v>15</v>
      </c>
      <c r="N83" s="2">
        <v>8.7573310803381208</v>
      </c>
      <c r="O83" s="13">
        <f t="shared" si="2"/>
        <v>8.7582840690566908</v>
      </c>
      <c r="P83" s="2">
        <f t="shared" si="3"/>
        <v>-9.5298871856996925E-4</v>
      </c>
    </row>
    <row r="84" spans="11:16" x14ac:dyDescent="0.2">
      <c r="K84">
        <v>83</v>
      </c>
      <c r="L84">
        <v>303.14999999999998</v>
      </c>
      <c r="M84">
        <v>15</v>
      </c>
      <c r="N84" s="2">
        <v>8.7052591719579215</v>
      </c>
      <c r="O84" s="13">
        <f t="shared" si="2"/>
        <v>8.7064269287742899</v>
      </c>
      <c r="P84" s="2">
        <f t="shared" si="3"/>
        <v>-1.1677568163683816E-3</v>
      </c>
    </row>
    <row r="85" spans="11:16" x14ac:dyDescent="0.2">
      <c r="K85">
        <v>84</v>
      </c>
      <c r="L85">
        <v>308.14999999999998</v>
      </c>
      <c r="M85">
        <v>15</v>
      </c>
      <c r="N85" s="2">
        <v>8.6547507237125743</v>
      </c>
      <c r="O85" s="13">
        <f t="shared" si="2"/>
        <v>8.6564448023620422</v>
      </c>
      <c r="P85" s="2">
        <f t="shared" si="3"/>
        <v>-1.6940786494679116E-3</v>
      </c>
    </row>
    <row r="86" spans="11:16" x14ac:dyDescent="0.2">
      <c r="K86">
        <v>85</v>
      </c>
      <c r="L86">
        <v>313.14999999999998</v>
      </c>
      <c r="M86">
        <v>15</v>
      </c>
      <c r="N86" s="2">
        <v>8.6058925944984566</v>
      </c>
      <c r="O86" s="13">
        <f t="shared" si="2"/>
        <v>8.6080180006871139</v>
      </c>
      <c r="P86" s="2">
        <f t="shared" si="3"/>
        <v>-2.1254061886573083E-3</v>
      </c>
    </row>
    <row r="87" spans="11:16" x14ac:dyDescent="0.2">
      <c r="K87">
        <v>86</v>
      </c>
      <c r="L87">
        <v>318.14999999999998</v>
      </c>
      <c r="M87">
        <v>15</v>
      </c>
      <c r="N87" s="2">
        <v>8.5579899131445298</v>
      </c>
      <c r="O87" s="13">
        <f t="shared" si="2"/>
        <v>8.5608541576825257</v>
      </c>
      <c r="P87" s="2">
        <f t="shared" si="3"/>
        <v>-2.8642445379958303E-3</v>
      </c>
    </row>
    <row r="88" spans="11:16" x14ac:dyDescent="0.2">
      <c r="K88">
        <v>87</v>
      </c>
      <c r="L88">
        <v>273.14999999999998</v>
      </c>
      <c r="M88">
        <v>25</v>
      </c>
      <c r="N88" s="2">
        <v>8.9755640574945055</v>
      </c>
      <c r="O88" s="13">
        <f t="shared" si="2"/>
        <v>8.9720281575067151</v>
      </c>
      <c r="P88" s="2">
        <f t="shared" si="3"/>
        <v>3.5358999877903585E-3</v>
      </c>
    </row>
    <row r="89" spans="11:16" x14ac:dyDescent="0.2">
      <c r="K89">
        <v>88</v>
      </c>
      <c r="L89">
        <v>278.14999999999998</v>
      </c>
      <c r="M89">
        <v>25</v>
      </c>
      <c r="N89" s="2">
        <v>8.9075969710766447</v>
      </c>
      <c r="O89" s="13">
        <f t="shared" si="2"/>
        <v>8.9040068444171023</v>
      </c>
      <c r="P89" s="2">
        <f t="shared" si="3"/>
        <v>3.590126659542392E-3</v>
      </c>
    </row>
    <row r="90" spans="11:16" x14ac:dyDescent="0.2">
      <c r="K90">
        <v>89</v>
      </c>
      <c r="L90">
        <v>283.14999999999998</v>
      </c>
      <c r="M90">
        <v>25</v>
      </c>
      <c r="N90" s="2">
        <v>8.842930522721252</v>
      </c>
      <c r="O90" s="13">
        <f t="shared" si="2"/>
        <v>8.8395805014542468</v>
      </c>
      <c r="P90" s="2">
        <f t="shared" si="3"/>
        <v>3.3500212670052321E-3</v>
      </c>
    </row>
    <row r="91" spans="11:16" x14ac:dyDescent="0.2">
      <c r="K91">
        <v>90</v>
      </c>
      <c r="L91">
        <v>288.14999999999998</v>
      </c>
      <c r="M91">
        <v>25</v>
      </c>
      <c r="N91" s="2">
        <v>8.7819555774620355</v>
      </c>
      <c r="O91" s="13">
        <f t="shared" si="2"/>
        <v>8.7781951844714996</v>
      </c>
      <c r="P91" s="2">
        <f t="shared" si="3"/>
        <v>3.7603929905358768E-3</v>
      </c>
    </row>
    <row r="92" spans="11:16" x14ac:dyDescent="0.2">
      <c r="K92">
        <v>91</v>
      </c>
      <c r="L92">
        <v>293.14999999999998</v>
      </c>
      <c r="M92">
        <v>25</v>
      </c>
      <c r="N92" s="2">
        <v>8.7231955340605261</v>
      </c>
      <c r="O92" s="13">
        <f t="shared" si="2"/>
        <v>8.7193472562674579</v>
      </c>
      <c r="P92" s="2">
        <f t="shared" si="3"/>
        <v>3.8482777930681777E-3</v>
      </c>
    </row>
    <row r="93" spans="11:16" x14ac:dyDescent="0.2">
      <c r="K93">
        <v>92</v>
      </c>
      <c r="L93">
        <v>298.14999999999998</v>
      </c>
      <c r="M93">
        <v>25</v>
      </c>
      <c r="N93" s="2">
        <v>8.6665635336203408</v>
      </c>
      <c r="O93" s="13">
        <f t="shared" si="2"/>
        <v>8.6625785385999947</v>
      </c>
      <c r="P93" s="2">
        <f t="shared" si="3"/>
        <v>3.9849950203461049E-3</v>
      </c>
    </row>
    <row r="94" spans="11:16" x14ac:dyDescent="0.2">
      <c r="K94">
        <v>93</v>
      </c>
      <c r="L94">
        <v>303.14999999999998</v>
      </c>
      <c r="M94">
        <v>25</v>
      </c>
      <c r="N94" s="2">
        <v>8.6112344166258676</v>
      </c>
      <c r="O94" s="13">
        <f t="shared" si="2"/>
        <v>8.607471985516522</v>
      </c>
      <c r="P94" s="2">
        <f t="shared" si="3"/>
        <v>3.7624311093455987E-3</v>
      </c>
    </row>
    <row r="95" spans="11:16" x14ac:dyDescent="0.2">
      <c r="K95">
        <v>94</v>
      </c>
      <c r="L95">
        <v>308.14999999999998</v>
      </c>
      <c r="M95">
        <v>25</v>
      </c>
      <c r="N95" s="2">
        <v>8.5572516125252918</v>
      </c>
      <c r="O95" s="13">
        <f t="shared" si="2"/>
        <v>8.5536478154174631</v>
      </c>
      <c r="P95" s="2">
        <f t="shared" si="3"/>
        <v>3.6037971078286546E-3</v>
      </c>
    </row>
    <row r="96" spans="11:16" x14ac:dyDescent="0.2">
      <c r="K96">
        <v>95</v>
      </c>
      <c r="L96">
        <v>313.14999999999998</v>
      </c>
      <c r="M96">
        <v>25</v>
      </c>
      <c r="N96" s="2">
        <v>8.5040939679403351</v>
      </c>
      <c r="O96" s="13">
        <f t="shared" si="2"/>
        <v>8.5007600475861178</v>
      </c>
      <c r="P96" s="2">
        <f t="shared" si="3"/>
        <v>3.3339203542173124E-3</v>
      </c>
    </row>
    <row r="97" spans="11:16" x14ac:dyDescent="0.2">
      <c r="K97">
        <v>96</v>
      </c>
      <c r="L97">
        <v>318.14999999999998</v>
      </c>
      <c r="M97">
        <v>25</v>
      </c>
      <c r="N97" s="2">
        <v>8.4514140472854695</v>
      </c>
      <c r="O97" s="13">
        <f t="shared" si="2"/>
        <v>8.4484933960221529</v>
      </c>
      <c r="P97" s="2">
        <f t="shared" si="3"/>
        <v>2.9206512633166426E-3</v>
      </c>
    </row>
    <row r="98" spans="11:16" x14ac:dyDescent="0.2">
      <c r="K98">
        <v>97</v>
      </c>
      <c r="L98">
        <v>273.14999999999998</v>
      </c>
      <c r="M98">
        <v>35</v>
      </c>
      <c r="N98" s="2">
        <v>8.9108107502427316</v>
      </c>
      <c r="O98" s="13">
        <f t="shared" si="2"/>
        <v>8.9124655952497189</v>
      </c>
      <c r="P98" s="2">
        <f t="shared" si="3"/>
        <v>-1.6548450069873155E-3</v>
      </c>
    </row>
    <row r="99" spans="11:16" x14ac:dyDescent="0.2">
      <c r="K99">
        <v>98</v>
      </c>
      <c r="L99">
        <v>278.14999999999998</v>
      </c>
      <c r="M99">
        <v>35</v>
      </c>
      <c r="N99" s="2">
        <v>8.8418013570683041</v>
      </c>
      <c r="O99" s="13">
        <f t="shared" si="2"/>
        <v>8.8439566501687779</v>
      </c>
      <c r="P99" s="2">
        <f t="shared" si="3"/>
        <v>-2.1552931004737985E-3</v>
      </c>
    </row>
    <row r="100" spans="11:16" x14ac:dyDescent="0.2">
      <c r="K100">
        <v>99</v>
      </c>
      <c r="L100">
        <v>283.14999999999998</v>
      </c>
      <c r="M100">
        <v>35</v>
      </c>
      <c r="N100" s="2">
        <v>8.7766571847828168</v>
      </c>
      <c r="O100" s="13">
        <f t="shared" si="2"/>
        <v>8.7787212049691181</v>
      </c>
      <c r="P100" s="2">
        <f t="shared" si="3"/>
        <v>-2.064020186301363E-3</v>
      </c>
    </row>
    <row r="101" spans="11:16" x14ac:dyDescent="0.2">
      <c r="K101">
        <v>100</v>
      </c>
      <c r="L101">
        <v>288.14999999999998</v>
      </c>
      <c r="M101">
        <v>35</v>
      </c>
      <c r="N101" s="2">
        <v>8.713814773251416</v>
      </c>
      <c r="O101" s="13">
        <f t="shared" si="2"/>
        <v>8.7161647584456396</v>
      </c>
      <c r="P101" s="2">
        <f t="shared" si="3"/>
        <v>-2.3499851942236916E-3</v>
      </c>
    </row>
    <row r="102" spans="11:16" x14ac:dyDescent="0.2">
      <c r="K102">
        <v>101</v>
      </c>
      <c r="L102">
        <v>293.14999999999998</v>
      </c>
      <c r="M102">
        <v>35</v>
      </c>
      <c r="N102" s="2">
        <v>8.6538387053005774</v>
      </c>
      <c r="O102" s="13">
        <f t="shared" si="2"/>
        <v>8.6557478379647996</v>
      </c>
      <c r="P102" s="2">
        <f t="shared" si="3"/>
        <v>-1.9091326642222128E-3</v>
      </c>
    </row>
    <row r="103" spans="11:16" x14ac:dyDescent="0.2">
      <c r="K103">
        <v>102</v>
      </c>
      <c r="L103">
        <v>298.14999999999998</v>
      </c>
      <c r="M103">
        <v>35</v>
      </c>
      <c r="N103" s="2">
        <v>8.5949483735544963</v>
      </c>
      <c r="O103" s="13">
        <f t="shared" si="2"/>
        <v>8.5969806572105991</v>
      </c>
      <c r="P103" s="2">
        <f t="shared" si="3"/>
        <v>-2.0322836561028623E-3</v>
      </c>
    </row>
    <row r="104" spans="11:16" x14ac:dyDescent="0.2">
      <c r="K104">
        <v>103</v>
      </c>
      <c r="L104">
        <v>303.14999999999998</v>
      </c>
      <c r="M104">
        <v>35</v>
      </c>
      <c r="N104" s="2">
        <v>8.5373174958059348</v>
      </c>
      <c r="O104" s="13">
        <f t="shared" si="2"/>
        <v>8.539418350649953</v>
      </c>
      <c r="P104" s="2">
        <f t="shared" si="3"/>
        <v>-2.1008548440182295E-3</v>
      </c>
    </row>
    <row r="105" spans="11:16" x14ac:dyDescent="0.2">
      <c r="K105">
        <v>104</v>
      </c>
      <c r="L105">
        <v>308.14999999999998</v>
      </c>
      <c r="M105">
        <v>35</v>
      </c>
      <c r="N105" s="2">
        <v>8.4804249186766079</v>
      </c>
      <c r="O105" s="13">
        <f t="shared" si="2"/>
        <v>8.4826567153160841</v>
      </c>
      <c r="P105" s="2">
        <f t="shared" si="3"/>
        <v>-2.2317966394762578E-3</v>
      </c>
    </row>
    <row r="106" spans="11:16" x14ac:dyDescent="0.2">
      <c r="K106">
        <v>105</v>
      </c>
      <c r="L106">
        <v>313.14999999999998</v>
      </c>
      <c r="M106">
        <v>35</v>
      </c>
      <c r="N106" s="2">
        <v>8.4243575010628984</v>
      </c>
      <c r="O106" s="13">
        <f t="shared" si="2"/>
        <v>8.4263283997445715</v>
      </c>
      <c r="P106" s="2">
        <f t="shared" si="3"/>
        <v>-1.9708986816731056E-3</v>
      </c>
    </row>
    <row r="107" spans="11:16" x14ac:dyDescent="0.2">
      <c r="K107">
        <v>106</v>
      </c>
      <c r="L107">
        <v>318.14999999999998</v>
      </c>
      <c r="M107">
        <v>35</v>
      </c>
      <c r="N107" s="2">
        <v>8.3684638012419512</v>
      </c>
      <c r="O107" s="13">
        <f t="shared" si="2"/>
        <v>8.3700994877866002</v>
      </c>
      <c r="P107" s="2">
        <f t="shared" si="3"/>
        <v>-1.6356865446489621E-3</v>
      </c>
    </row>
    <row r="108" spans="11:16" x14ac:dyDescent="0.2">
      <c r="K108">
        <v>107</v>
      </c>
      <c r="L108">
        <v>273.14999999999998</v>
      </c>
      <c r="M108">
        <v>45</v>
      </c>
      <c r="N108" s="2">
        <v>8.869856780599255</v>
      </c>
      <c r="O108" s="13">
        <f t="shared" si="2"/>
        <v>8.8702112120663035</v>
      </c>
      <c r="P108" s="2">
        <f t="shared" si="3"/>
        <v>-3.5443146704849937E-4</v>
      </c>
    </row>
    <row r="109" spans="11:16" x14ac:dyDescent="0.2">
      <c r="K109">
        <v>108</v>
      </c>
      <c r="L109">
        <v>278.14999999999998</v>
      </c>
      <c r="M109">
        <v>45</v>
      </c>
      <c r="N109" s="2">
        <v>8.8010645346657785</v>
      </c>
      <c r="O109" s="13">
        <f t="shared" si="2"/>
        <v>8.8014404232055501</v>
      </c>
      <c r="P109" s="2">
        <f t="shared" si="3"/>
        <v>-3.7588853977155168E-4</v>
      </c>
    </row>
    <row r="110" spans="11:16" x14ac:dyDescent="0.2">
      <c r="K110">
        <v>109</v>
      </c>
      <c r="L110">
        <v>283.14999999999998</v>
      </c>
      <c r="M110">
        <v>45</v>
      </c>
      <c r="N110" s="2">
        <v>8.7351820617610567</v>
      </c>
      <c r="O110" s="13">
        <f t="shared" si="2"/>
        <v>8.7356651624279529</v>
      </c>
      <c r="P110" s="2">
        <f t="shared" si="3"/>
        <v>-4.8310066689616349E-4</v>
      </c>
    </row>
    <row r="111" spans="11:16" x14ac:dyDescent="0.2">
      <c r="K111">
        <v>110</v>
      </c>
      <c r="L111">
        <v>288.14999999999998</v>
      </c>
      <c r="M111">
        <v>45</v>
      </c>
      <c r="N111" s="2">
        <v>8.6712973434730873</v>
      </c>
      <c r="O111" s="13">
        <f t="shared" si="2"/>
        <v>8.6722558592839754</v>
      </c>
      <c r="P111" s="2">
        <f t="shared" si="3"/>
        <v>-9.5851581088801652E-4</v>
      </c>
    </row>
    <row r="112" spans="11:16" x14ac:dyDescent="0.2">
      <c r="K112">
        <v>111</v>
      </c>
      <c r="L112">
        <v>293.14999999999998</v>
      </c>
      <c r="M112">
        <v>45</v>
      </c>
      <c r="N112" s="2">
        <v>8.6100183920765385</v>
      </c>
      <c r="O112" s="13">
        <f t="shared" si="2"/>
        <v>8.6106420546348623</v>
      </c>
      <c r="P112" s="2">
        <f t="shared" si="3"/>
        <v>-6.2366255832380091E-4</v>
      </c>
    </row>
    <row r="113" spans="11:16" x14ac:dyDescent="0.2">
      <c r="K113">
        <v>112</v>
      </c>
      <c r="L113">
        <v>298.14999999999998</v>
      </c>
      <c r="M113">
        <v>45</v>
      </c>
      <c r="N113" s="2">
        <v>8.5497383179883677</v>
      </c>
      <c r="O113" s="13">
        <f t="shared" si="2"/>
        <v>8.5503066310095246</v>
      </c>
      <c r="P113" s="2">
        <f t="shared" si="3"/>
        <v>-5.6831302115689653E-4</v>
      </c>
    </row>
    <row r="114" spans="11:16" x14ac:dyDescent="0.2">
      <c r="K114">
        <v>113</v>
      </c>
      <c r="L114">
        <v>303.14999999999998</v>
      </c>
      <c r="M114">
        <v>45</v>
      </c>
      <c r="N114" s="2">
        <v>8.4905439801049543</v>
      </c>
      <c r="O114" s="13">
        <f t="shared" si="2"/>
        <v>8.4907806675884014</v>
      </c>
      <c r="P114" s="2">
        <f t="shared" si="3"/>
        <v>-2.3668748344718438E-4</v>
      </c>
    </row>
    <row r="115" spans="11:16" x14ac:dyDescent="0.2">
      <c r="K115">
        <v>114</v>
      </c>
      <c r="L115">
        <v>308.14999999999998</v>
      </c>
      <c r="M115">
        <v>45</v>
      </c>
      <c r="N115" s="2">
        <v>8.4315233600143031</v>
      </c>
      <c r="O115" s="13">
        <f t="shared" si="2"/>
        <v>8.4316388445161703</v>
      </c>
      <c r="P115" s="2">
        <f t="shared" si="3"/>
        <v>-1.1548450186715797E-4</v>
      </c>
    </row>
    <row r="116" spans="11:16" x14ac:dyDescent="0.2">
      <c r="K116">
        <v>115</v>
      </c>
      <c r="L116">
        <v>313.14999999999998</v>
      </c>
      <c r="M116">
        <v>45</v>
      </c>
      <c r="N116" s="2">
        <v>8.3733278994392659</v>
      </c>
      <c r="O116" s="13">
        <f t="shared" si="2"/>
        <v>8.3724953312769586</v>
      </c>
      <c r="P116" s="2">
        <f t="shared" si="3"/>
        <v>8.3256816230736774E-4</v>
      </c>
    </row>
    <row r="117" spans="11:16" x14ac:dyDescent="0.2">
      <c r="K117">
        <v>116</v>
      </c>
      <c r="L117">
        <v>318.14999999999998</v>
      </c>
      <c r="M117">
        <v>45</v>
      </c>
      <c r="N117" s="2">
        <v>8.3150890094160399</v>
      </c>
      <c r="O117" s="13">
        <f t="shared" si="2"/>
        <v>8.313000102436952</v>
      </c>
      <c r="P117" s="2">
        <f t="shared" si="3"/>
        <v>2.0889069790879233E-3</v>
      </c>
    </row>
    <row r="119" spans="11:16" x14ac:dyDescent="0.2">
      <c r="P119" s="15">
        <f>SUMSQ(P2:P117)</f>
        <v>7.4658621481598719E-4</v>
      </c>
    </row>
    <row r="120" spans="11:16" x14ac:dyDescent="0.2">
      <c r="P120" s="16">
        <f>SQRT(SUMSQ(P2:P117)/(COUNT(N2:O117)-2))</f>
        <v>1.801673394635963E-3</v>
      </c>
    </row>
  </sheetData>
  <conditionalFormatting sqref="P1">
    <cfRule type="top10" dxfId="42" priority="7" rank="1"/>
    <cfRule type="top10" dxfId="41" priority="8" bottom="1" rank="1"/>
  </conditionalFormatting>
  <conditionalFormatting sqref="P1:P119 P121:P1048576">
    <cfRule type="top10" dxfId="40" priority="5" bottom="1" rank="1"/>
    <cfRule type="top10" dxfId="39" priority="6" rank="1"/>
  </conditionalFormatting>
  <conditionalFormatting sqref="P1:P1048576">
    <cfRule type="top10" dxfId="38" priority="3" bottom="1" rank="3"/>
    <cfRule type="top10" dxfId="37" priority="4" rank="3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EE5A7-D40F-487D-AF37-0CA548984790}">
  <dimension ref="A1:S117"/>
  <sheetViews>
    <sheetView workbookViewId="0">
      <selection activeCell="A14" sqref="A14"/>
    </sheetView>
  </sheetViews>
  <sheetFormatPr baseColWidth="10" defaultColWidth="8.83203125" defaultRowHeight="15" x14ac:dyDescent="0.2"/>
  <cols>
    <col min="2" max="2" width="14.1640625" customWidth="1"/>
    <col min="15" max="15" width="14" customWidth="1"/>
    <col min="18" max="18" width="15.1640625" bestFit="1" customWidth="1"/>
    <col min="19" max="19" width="12.1640625" customWidth="1"/>
  </cols>
  <sheetData>
    <row r="1" spans="1:19" ht="16" x14ac:dyDescent="0.2">
      <c r="L1" s="18" t="s">
        <v>47</v>
      </c>
      <c r="M1" s="18" t="s">
        <v>3</v>
      </c>
      <c r="N1" s="18" t="s">
        <v>4</v>
      </c>
      <c r="O1" s="7" t="s">
        <v>8</v>
      </c>
      <c r="P1" s="18" t="s">
        <v>58</v>
      </c>
      <c r="Q1" s="18" t="s">
        <v>59</v>
      </c>
      <c r="R1" s="18" t="s">
        <v>48</v>
      </c>
      <c r="S1" s="18" t="s">
        <v>49</v>
      </c>
    </row>
    <row r="2" spans="1:19" x14ac:dyDescent="0.2">
      <c r="L2" s="8">
        <v>1</v>
      </c>
      <c r="M2">
        <v>275.14999999999998</v>
      </c>
      <c r="N2">
        <v>0</v>
      </c>
      <c r="O2" s="2">
        <v>9.4763443037501052</v>
      </c>
      <c r="P2" s="2">
        <f>$B$13+$B$14*1/M2+$B$15*N2^0.5/M2+$B$16*(N2^0.5/(1+N2^0.5))+$B$17*LN(M2)+$B$18*N2^0.5*LN(M2)+$B$19*N2^0.5*M2+$B$20*N2*M2</f>
        <v>9.4759687108972699</v>
      </c>
      <c r="Q2" s="2">
        <f>O2-P2</f>
        <v>3.7559285283528254E-4</v>
      </c>
      <c r="R2" s="2">
        <f>-60.4127+(3725.246/M2)+(-201.715*N2^(1/2)/M2)+(-0.07761*N2^(1/2)/(1+N2^(1/2)))+(10.03142*LN(M2))+(0.304366*N2^(1/2)*LN(M2))+(-0.003981*N2^(1/2)*M2)+(0.00001843*N2*M2)</f>
        <v>9.4759243178005619</v>
      </c>
      <c r="S2" s="2">
        <f>O2-R2</f>
        <v>4.1998594954328894E-4</v>
      </c>
    </row>
    <row r="3" spans="1:19" x14ac:dyDescent="0.2">
      <c r="A3" s="10" t="s">
        <v>51</v>
      </c>
      <c r="L3" s="8">
        <v>2</v>
      </c>
      <c r="M3">
        <v>283.14999999999998</v>
      </c>
      <c r="N3">
        <v>0</v>
      </c>
      <c r="O3" s="2">
        <v>9.3805996831057872</v>
      </c>
      <c r="P3" s="2">
        <f t="shared" ref="P3:P66" si="0">$B$13+$B$14*1/M3+$B$15*N3^0.5/M3+$B$16*(N3^0.5/(1+N3^0.5))+$B$17*LN(M3)+$B$18*N3^0.5*LN(M3)+$B$19*N3^0.5*M3+$B$20*N3*M3</f>
        <v>9.3809488875194162</v>
      </c>
      <c r="Q3" s="2">
        <f t="shared" ref="Q3:Q66" si="1">O3-P3</f>
        <v>-3.4920441362906729E-4</v>
      </c>
      <c r="R3" s="2">
        <f t="shared" ref="R3:R66" si="2">-60.4127+(3725.246/M3)+(-201.715*N3^(1/2)/M3)+(-0.07761*N3^(1/2)/(1+N3^(1/2)))+(10.03142*LN(M3))+(0.304366*N3^(1/2)*LN(M3))+(-0.003981*N3^(1/2)*M3)+(0.00001843*N3*M3)</f>
        <v>9.3809045658641352</v>
      </c>
      <c r="S3" s="2">
        <f t="shared" ref="S3:S66" si="3">O3-R3</f>
        <v>-3.0488275834805734E-4</v>
      </c>
    </row>
    <row r="4" spans="1:19" x14ac:dyDescent="0.2">
      <c r="A4" s="10" t="s">
        <v>50</v>
      </c>
      <c r="L4" s="8">
        <v>3</v>
      </c>
      <c r="M4">
        <v>288.14999999999998</v>
      </c>
      <c r="N4">
        <v>0</v>
      </c>
      <c r="O4" s="2">
        <v>9.327701400560402</v>
      </c>
      <c r="P4" s="2">
        <f t="shared" si="0"/>
        <v>9.3282511697589356</v>
      </c>
      <c r="Q4" s="2">
        <f t="shared" si="1"/>
        <v>-5.4976919853366724E-4</v>
      </c>
      <c r="R4" s="2">
        <f t="shared" si="2"/>
        <v>9.3282068911856157</v>
      </c>
      <c r="S4" s="2">
        <f t="shared" si="3"/>
        <v>-5.0549062521376698E-4</v>
      </c>
    </row>
    <row r="5" spans="1:19" x14ac:dyDescent="0.2">
      <c r="A5" s="10" t="s">
        <v>52</v>
      </c>
      <c r="L5" s="8">
        <v>4</v>
      </c>
      <c r="M5">
        <v>293.14999999999998</v>
      </c>
      <c r="N5">
        <v>0</v>
      </c>
      <c r="O5" s="2">
        <v>9.279748389054344</v>
      </c>
      <c r="P5" s="2">
        <f t="shared" si="0"/>
        <v>9.2803201258883092</v>
      </c>
      <c r="Q5" s="2">
        <f t="shared" si="1"/>
        <v>-5.7173683396527508E-4</v>
      </c>
      <c r="R5" s="2">
        <f t="shared" si="2"/>
        <v>9.2802758892571688</v>
      </c>
      <c r="S5" s="2">
        <f t="shared" si="3"/>
        <v>-5.2750020282488208E-4</v>
      </c>
    </row>
    <row r="6" spans="1:19" x14ac:dyDescent="0.2">
      <c r="A6" s="9"/>
      <c r="L6" s="8">
        <v>5</v>
      </c>
      <c r="M6">
        <v>298.14999999999998</v>
      </c>
      <c r="N6">
        <v>0</v>
      </c>
      <c r="O6" s="2">
        <v>9.236439174278031</v>
      </c>
      <c r="P6" s="2">
        <f t="shared" si="0"/>
        <v>9.2368661474991853</v>
      </c>
      <c r="Q6" s="2">
        <f t="shared" si="1"/>
        <v>-4.2697322115436975E-4</v>
      </c>
      <c r="R6" s="2">
        <f t="shared" si="2"/>
        <v>9.2368219517222343</v>
      </c>
      <c r="S6" s="2">
        <f t="shared" si="3"/>
        <v>-3.8277744420334159E-4</v>
      </c>
    </row>
    <row r="7" spans="1:19" x14ac:dyDescent="0.2">
      <c r="A7" s="10" t="s">
        <v>13</v>
      </c>
      <c r="L7" s="8">
        <v>6</v>
      </c>
      <c r="M7">
        <v>303.14999999999998</v>
      </c>
      <c r="N7">
        <v>0</v>
      </c>
      <c r="O7" s="2">
        <v>9.197493909256881</v>
      </c>
      <c r="P7" s="2">
        <f t="shared" si="0"/>
        <v>9.1976203756408879</v>
      </c>
      <c r="Q7" s="2">
        <f t="shared" si="1"/>
        <v>-1.2646638400681809E-4</v>
      </c>
      <c r="R7" s="2">
        <f t="shared" si="2"/>
        <v>9.1975762196787443</v>
      </c>
      <c r="S7" s="2">
        <f t="shared" si="3"/>
        <v>-8.231042186324089E-5</v>
      </c>
    </row>
    <row r="8" spans="1:19" x14ac:dyDescent="0.2">
      <c r="A8" s="10" t="s">
        <v>39</v>
      </c>
      <c r="L8" s="8">
        <v>7</v>
      </c>
      <c r="M8">
        <v>308.14999999999998</v>
      </c>
      <c r="N8">
        <v>0</v>
      </c>
      <c r="O8" s="2">
        <v>9.1626525351283945</v>
      </c>
      <c r="P8" s="2">
        <f t="shared" si="0"/>
        <v>9.1623329374462728</v>
      </c>
      <c r="Q8" s="2">
        <f t="shared" si="1"/>
        <v>3.1959768212175277E-4</v>
      </c>
      <c r="R8" s="2">
        <f t="shared" si="2"/>
        <v>9.1622888203051218</v>
      </c>
      <c r="S8" s="2">
        <f t="shared" si="3"/>
        <v>3.6371482327268723E-4</v>
      </c>
    </row>
    <row r="9" spans="1:19" x14ac:dyDescent="0.2">
      <c r="A9" s="10" t="s">
        <v>53</v>
      </c>
      <c r="L9" s="8">
        <v>8</v>
      </c>
      <c r="M9" s="3">
        <v>275.95999999999998</v>
      </c>
      <c r="N9">
        <v>1.5389999999999999</v>
      </c>
      <c r="O9" s="2">
        <v>9.2816954622092496</v>
      </c>
      <c r="P9" s="2">
        <f t="shared" si="0"/>
        <v>9.2830973054973374</v>
      </c>
      <c r="Q9" s="2">
        <f t="shared" si="1"/>
        <v>-1.4018432880877896E-3</v>
      </c>
      <c r="R9" s="2">
        <f t="shared" si="2"/>
        <v>9.2829762068152633</v>
      </c>
      <c r="S9" s="2">
        <f t="shared" si="3"/>
        <v>-1.280744606013684E-3</v>
      </c>
    </row>
    <row r="10" spans="1:19" x14ac:dyDescent="0.2">
      <c r="A10" s="9"/>
      <c r="L10" s="8">
        <v>9</v>
      </c>
      <c r="M10" s="3">
        <v>283.66499999999996</v>
      </c>
      <c r="N10">
        <v>1.5389999999999999</v>
      </c>
      <c r="O10" s="2">
        <v>9.1898538180847282</v>
      </c>
      <c r="P10" s="2">
        <f t="shared" si="0"/>
        <v>9.1898694659003048</v>
      </c>
      <c r="Q10" s="2">
        <f t="shared" si="1"/>
        <v>-1.5647815576613766E-5</v>
      </c>
      <c r="R10" s="2">
        <f t="shared" si="2"/>
        <v>9.189746252439047</v>
      </c>
      <c r="S10" s="2">
        <f t="shared" si="3"/>
        <v>1.0756564568126237E-4</v>
      </c>
    </row>
    <row r="11" spans="1:19" x14ac:dyDescent="0.2">
      <c r="A11" s="10" t="s">
        <v>14</v>
      </c>
      <c r="L11" s="8">
        <v>10</v>
      </c>
      <c r="M11">
        <v>288.16999999999996</v>
      </c>
      <c r="N11">
        <v>1.5389999999999999</v>
      </c>
      <c r="O11" s="2">
        <v>9.1413505036630003</v>
      </c>
      <c r="P11" s="2">
        <f t="shared" si="0"/>
        <v>9.1402485314848043</v>
      </c>
      <c r="Q11" s="2">
        <f t="shared" si="1"/>
        <v>1.1019721781959646E-3</v>
      </c>
      <c r="R11" s="2">
        <f t="shared" si="2"/>
        <v>9.1401240802818737</v>
      </c>
      <c r="S11" s="2">
        <f t="shared" si="3"/>
        <v>1.2264233811265512E-3</v>
      </c>
    </row>
    <row r="12" spans="1:19" x14ac:dyDescent="0.2">
      <c r="A12" s="10"/>
      <c r="B12" t="s">
        <v>15</v>
      </c>
      <c r="C12" t="s">
        <v>16</v>
      </c>
      <c r="D12" t="s">
        <v>17</v>
      </c>
      <c r="E12" t="s">
        <v>18</v>
      </c>
      <c r="L12" s="8">
        <v>11</v>
      </c>
      <c r="M12" s="3">
        <v>293.13499999999999</v>
      </c>
      <c r="N12">
        <v>1.5389999999999999</v>
      </c>
      <c r="O12" s="2">
        <v>9.0894468798349664</v>
      </c>
      <c r="P12" s="2">
        <f t="shared" si="0"/>
        <v>9.089435514956147</v>
      </c>
      <c r="Q12" s="2">
        <f t="shared" si="1"/>
        <v>1.1364878819364321E-5</v>
      </c>
      <c r="R12" s="2">
        <f t="shared" si="2"/>
        <v>9.089309698605863</v>
      </c>
      <c r="S12" s="2">
        <f t="shared" si="3"/>
        <v>1.3718122910333364E-4</v>
      </c>
    </row>
    <row r="13" spans="1:19" x14ac:dyDescent="0.2">
      <c r="A13" s="10" t="s">
        <v>19</v>
      </c>
      <c r="B13">
        <v>-60.412650745100002</v>
      </c>
      <c r="C13">
        <v>2.7880380320999998</v>
      </c>
      <c r="D13">
        <v>-21.67</v>
      </c>
      <c r="E13" t="s">
        <v>54</v>
      </c>
      <c r="F13" t="s">
        <v>21</v>
      </c>
      <c r="L13" s="8">
        <v>12</v>
      </c>
      <c r="M13" s="3">
        <v>297.79999999999995</v>
      </c>
      <c r="N13">
        <v>1.5389999999999999</v>
      </c>
      <c r="O13" s="2">
        <v>9.0479737153482098</v>
      </c>
      <c r="P13" s="2">
        <f t="shared" si="0"/>
        <v>9.0451753108499062</v>
      </c>
      <c r="Q13" s="2">
        <f t="shared" si="1"/>
        <v>2.7984044983035972E-3</v>
      </c>
      <c r="R13" s="2">
        <f t="shared" si="2"/>
        <v>9.0450482109042056</v>
      </c>
      <c r="S13" s="2">
        <f t="shared" si="3"/>
        <v>2.92550444400419E-3</v>
      </c>
    </row>
    <row r="14" spans="1:19" x14ac:dyDescent="0.2">
      <c r="A14" s="10" t="s">
        <v>24</v>
      </c>
      <c r="B14">
        <v>3725.2463846966002</v>
      </c>
      <c r="C14">
        <v>122.4223477197</v>
      </c>
      <c r="D14">
        <v>30.43</v>
      </c>
      <c r="E14" t="s">
        <v>54</v>
      </c>
      <c r="F14" t="s">
        <v>21</v>
      </c>
      <c r="L14" s="17">
        <v>13</v>
      </c>
      <c r="M14" s="3">
        <v>303.375</v>
      </c>
      <c r="N14">
        <v>1.5389999999999999</v>
      </c>
      <c r="O14" s="2">
        <v>8.9939324605153796</v>
      </c>
      <c r="P14" s="2">
        <f t="shared" si="0"/>
        <v>8.9964281739795648</v>
      </c>
      <c r="Q14" s="2">
        <f t="shared" si="1"/>
        <v>-2.4957134641852008E-3</v>
      </c>
      <c r="R14" s="2">
        <f t="shared" si="2"/>
        <v>8.9962995389140605</v>
      </c>
      <c r="S14" s="2">
        <f t="shared" si="3"/>
        <v>-2.3670783986808885E-3</v>
      </c>
    </row>
    <row r="15" spans="1:19" x14ac:dyDescent="0.2">
      <c r="A15" s="10" t="s">
        <v>41</v>
      </c>
      <c r="B15">
        <v>-201.7150205609</v>
      </c>
      <c r="C15">
        <v>11.5549078955</v>
      </c>
      <c r="D15">
        <v>-17.46</v>
      </c>
      <c r="E15" t="s">
        <v>54</v>
      </c>
      <c r="F15" t="s">
        <v>21</v>
      </c>
      <c r="L15" s="8">
        <v>14</v>
      </c>
      <c r="M15">
        <v>307.20999999999998</v>
      </c>
      <c r="N15">
        <v>2.129</v>
      </c>
      <c r="O15" s="2">
        <v>8.9341368171409883</v>
      </c>
      <c r="P15" s="2">
        <f t="shared" si="0"/>
        <v>8.9358458483738179</v>
      </c>
      <c r="Q15" s="2">
        <f t="shared" si="1"/>
        <v>-1.7090312328296164E-3</v>
      </c>
      <c r="R15" s="2">
        <f t="shared" si="2"/>
        <v>8.9357008802878184</v>
      </c>
      <c r="S15" s="2">
        <f t="shared" si="3"/>
        <v>-1.5640631468301081E-3</v>
      </c>
    </row>
    <row r="16" spans="1:19" x14ac:dyDescent="0.2">
      <c r="A16" s="10" t="s">
        <v>42</v>
      </c>
      <c r="B16">
        <v>-7.7612310500000004E-2</v>
      </c>
      <c r="C16">
        <v>3.0742795999999998E-3</v>
      </c>
      <c r="D16">
        <v>-25.25</v>
      </c>
      <c r="E16" t="s">
        <v>54</v>
      </c>
      <c r="F16" t="s">
        <v>21</v>
      </c>
      <c r="L16" s="8">
        <v>15</v>
      </c>
      <c r="M16" s="3">
        <v>275.70999999999998</v>
      </c>
      <c r="N16">
        <v>3.0430000000000001</v>
      </c>
      <c r="O16" s="2">
        <v>9.2264391742780294</v>
      </c>
      <c r="P16" s="2">
        <f t="shared" si="0"/>
        <v>9.2277237804419165</v>
      </c>
      <c r="Q16" s="2">
        <f t="shared" si="1"/>
        <v>-1.2846061638871475E-3</v>
      </c>
      <c r="R16" s="2">
        <f t="shared" si="2"/>
        <v>9.2275711222372561</v>
      </c>
      <c r="S16" s="2">
        <f t="shared" si="3"/>
        <v>-1.1319479592266646E-3</v>
      </c>
    </row>
    <row r="17" spans="1:19" x14ac:dyDescent="0.2">
      <c r="A17" s="10" t="s">
        <v>28</v>
      </c>
      <c r="B17">
        <v>10.031418885600001</v>
      </c>
      <c r="C17">
        <v>0.41722116190000003</v>
      </c>
      <c r="D17">
        <v>24.04</v>
      </c>
      <c r="E17" t="s">
        <v>54</v>
      </c>
      <c r="F17" t="s">
        <v>21</v>
      </c>
      <c r="L17" s="8">
        <v>16</v>
      </c>
      <c r="M17" s="3">
        <v>283.70499999999998</v>
      </c>
      <c r="N17">
        <v>3.0430000000000001</v>
      </c>
      <c r="O17" s="2">
        <v>9.1325983446066221</v>
      </c>
      <c r="P17" s="2">
        <f t="shared" si="0"/>
        <v>9.1297862169621702</v>
      </c>
      <c r="Q17" s="2">
        <f t="shared" si="1"/>
        <v>2.8121276444519339E-3</v>
      </c>
      <c r="R17" s="2">
        <f t="shared" si="2"/>
        <v>9.1296304393665029</v>
      </c>
      <c r="S17" s="2">
        <f t="shared" si="3"/>
        <v>2.9679052401192507E-3</v>
      </c>
    </row>
    <row r="18" spans="1:19" x14ac:dyDescent="0.2">
      <c r="A18" s="10" t="s">
        <v>29</v>
      </c>
      <c r="B18">
        <v>0.30436599600000003</v>
      </c>
      <c r="C18">
        <v>1.6813046000000002E-2</v>
      </c>
      <c r="D18">
        <v>18.100000000000001</v>
      </c>
      <c r="E18" t="s">
        <v>54</v>
      </c>
      <c r="F18" t="s">
        <v>21</v>
      </c>
      <c r="L18" s="17">
        <v>17</v>
      </c>
      <c r="M18">
        <v>288.37</v>
      </c>
      <c r="N18">
        <v>3.0430000000000001</v>
      </c>
      <c r="O18" s="2">
        <v>9.0792442506120992</v>
      </c>
      <c r="P18" s="2">
        <f t="shared" si="0"/>
        <v>9.0775664792344362</v>
      </c>
      <c r="Q18" s="2">
        <f t="shared" si="1"/>
        <v>1.6777713776630065E-3</v>
      </c>
      <c r="R18" s="2">
        <f t="shared" si="2"/>
        <v>9.0774088801782238</v>
      </c>
      <c r="S18" s="2">
        <f t="shared" si="3"/>
        <v>1.8353704338753829E-3</v>
      </c>
    </row>
    <row r="19" spans="1:19" x14ac:dyDescent="0.2">
      <c r="A19" s="10" t="s">
        <v>30</v>
      </c>
      <c r="B19">
        <v>-3.9807727000000003E-3</v>
      </c>
      <c r="C19">
        <v>1.9135960000000001E-4</v>
      </c>
      <c r="D19">
        <v>-20.8</v>
      </c>
      <c r="E19" t="s">
        <v>54</v>
      </c>
      <c r="F19" t="s">
        <v>21</v>
      </c>
      <c r="L19" s="17">
        <v>18</v>
      </c>
      <c r="M19">
        <v>293.20999999999998</v>
      </c>
      <c r="N19">
        <v>3.0430000000000001</v>
      </c>
      <c r="O19" s="2">
        <v>9.0266279869348995</v>
      </c>
      <c r="P19" s="2">
        <f t="shared" si="0"/>
        <v>9.026936361304287</v>
      </c>
      <c r="Q19" s="2">
        <f t="shared" si="1"/>
        <v>-3.0837436938746521E-4</v>
      </c>
      <c r="R19" s="2">
        <f t="shared" si="2"/>
        <v>9.0267768714792584</v>
      </c>
      <c r="S19" s="2">
        <f t="shared" si="3"/>
        <v>-1.4888454435890708E-4</v>
      </c>
    </row>
    <row r="20" spans="1:19" x14ac:dyDescent="0.2">
      <c r="A20" s="10" t="s">
        <v>43</v>
      </c>
      <c r="B20">
        <v>1.84307E-5</v>
      </c>
      <c r="C20">
        <v>3.6660000000000001E-7</v>
      </c>
      <c r="D20">
        <v>50.28</v>
      </c>
      <c r="E20" t="s">
        <v>54</v>
      </c>
      <c r="F20" t="s">
        <v>21</v>
      </c>
      <c r="L20" s="8">
        <v>19</v>
      </c>
      <c r="M20">
        <v>297.81</v>
      </c>
      <c r="N20">
        <v>3.0430000000000001</v>
      </c>
      <c r="O20" s="2">
        <v>8.9785222278566614</v>
      </c>
      <c r="P20" s="2">
        <f t="shared" si="0"/>
        <v>8.9819648900635336</v>
      </c>
      <c r="Q20" s="2">
        <f t="shared" si="1"/>
        <v>-3.4426622068721713E-3</v>
      </c>
      <c r="R20" s="2">
        <f t="shared" si="2"/>
        <v>8.981803602341893</v>
      </c>
      <c r="S20" s="2">
        <f t="shared" si="3"/>
        <v>-3.2813744852315807E-3</v>
      </c>
    </row>
    <row r="21" spans="1:19" x14ac:dyDescent="0.2">
      <c r="A21" s="10" t="s">
        <v>40</v>
      </c>
      <c r="L21" s="8">
        <v>20</v>
      </c>
      <c r="M21" s="3">
        <v>302.27</v>
      </c>
      <c r="N21">
        <v>3.0430000000000001</v>
      </c>
      <c r="O21" s="2">
        <v>8.9413681714099003</v>
      </c>
      <c r="P21" s="2">
        <f t="shared" si="0"/>
        <v>8.9411193032198319</v>
      </c>
      <c r="Q21" s="2">
        <f t="shared" si="1"/>
        <v>2.4886819006830763E-4</v>
      </c>
      <c r="R21" s="2">
        <f t="shared" si="2"/>
        <v>8.9409562715305739</v>
      </c>
      <c r="S21" s="2">
        <f t="shared" si="3"/>
        <v>4.1189987932632732E-4</v>
      </c>
    </row>
    <row r="22" spans="1:19" x14ac:dyDescent="0.2">
      <c r="A22" s="11" t="s">
        <v>44</v>
      </c>
      <c r="B22" t="s">
        <v>45</v>
      </c>
      <c r="C22" t="s">
        <v>46</v>
      </c>
      <c r="D22">
        <v>1</v>
      </c>
      <c r="L22" s="8">
        <v>21</v>
      </c>
      <c r="M22" s="3">
        <v>308.43999999999994</v>
      </c>
      <c r="N22">
        <v>3.0430000000000001</v>
      </c>
      <c r="O22" s="2">
        <v>8.8910888943408608</v>
      </c>
      <c r="P22" s="2">
        <f t="shared" si="0"/>
        <v>8.8888043283282094</v>
      </c>
      <c r="Q22" s="2">
        <f t="shared" si="1"/>
        <v>2.2845660126513678E-3</v>
      </c>
      <c r="R22" s="2">
        <f t="shared" si="2"/>
        <v>8.8886388827950462</v>
      </c>
      <c r="S22" s="2">
        <f t="shared" si="3"/>
        <v>2.4500115458145899E-3</v>
      </c>
    </row>
    <row r="23" spans="1:19" x14ac:dyDescent="0.2">
      <c r="A23" s="10"/>
      <c r="L23" s="8">
        <v>22</v>
      </c>
      <c r="M23" s="3">
        <v>276.26666666666665</v>
      </c>
      <c r="N23">
        <v>4.4669999999999996</v>
      </c>
      <c r="O23" s="2">
        <v>9.1776028068965907</v>
      </c>
      <c r="P23" s="2">
        <f t="shared" si="0"/>
        <v>9.1805335870314337</v>
      </c>
      <c r="Q23" s="2">
        <f t="shared" si="1"/>
        <v>-2.9307801348430473E-3</v>
      </c>
      <c r="R23" s="2">
        <f t="shared" si="2"/>
        <v>9.180357393622737</v>
      </c>
      <c r="S23" s="2">
        <f t="shared" si="3"/>
        <v>-2.7545867261462575E-3</v>
      </c>
    </row>
    <row r="24" spans="1:19" x14ac:dyDescent="0.2">
      <c r="A24" s="11"/>
      <c r="L24" s="8">
        <v>23</v>
      </c>
      <c r="M24">
        <v>283.55999999999995</v>
      </c>
      <c r="N24">
        <v>5.8970000000000002</v>
      </c>
      <c r="O24" s="2">
        <v>9.0541888318700003</v>
      </c>
      <c r="P24" s="2">
        <f t="shared" si="0"/>
        <v>9.0577958315910063</v>
      </c>
      <c r="Q24" s="2">
        <f t="shared" si="1"/>
        <v>-3.6069997210059768E-3</v>
      </c>
      <c r="R24" s="2">
        <f t="shared" si="2"/>
        <v>9.0575956940657978</v>
      </c>
      <c r="S24" s="2">
        <f t="shared" si="3"/>
        <v>-3.4068621957974443E-3</v>
      </c>
    </row>
    <row r="25" spans="1:19" x14ac:dyDescent="0.2">
      <c r="L25" s="17">
        <v>24</v>
      </c>
      <c r="M25">
        <v>288.49</v>
      </c>
      <c r="N25">
        <v>5.8970000000000002</v>
      </c>
      <c r="O25" s="2">
        <v>9.0003452256033594</v>
      </c>
      <c r="P25" s="2">
        <f t="shared" si="0"/>
        <v>9.0013380653246013</v>
      </c>
      <c r="Q25" s="2">
        <f t="shared" si="1"/>
        <v>-9.9283972124197817E-4</v>
      </c>
      <c r="R25" s="2">
        <f t="shared" si="2"/>
        <v>9.0011352257907351</v>
      </c>
      <c r="S25" s="2">
        <f t="shared" si="3"/>
        <v>-7.9000018737573896E-4</v>
      </c>
    </row>
    <row r="26" spans="1:19" x14ac:dyDescent="0.2">
      <c r="L26" s="8">
        <v>25</v>
      </c>
      <c r="M26">
        <v>293.2</v>
      </c>
      <c r="N26" s="4">
        <v>5.9045000000000005</v>
      </c>
      <c r="O26" s="2">
        <v>8.9526014268523291</v>
      </c>
      <c r="P26" s="2">
        <f t="shared" si="0"/>
        <v>8.9504202977934746</v>
      </c>
      <c r="Q26" s="2">
        <f t="shared" si="1"/>
        <v>2.1811290588544807E-3</v>
      </c>
      <c r="R26" s="2">
        <f t="shared" si="2"/>
        <v>8.9502147719117833</v>
      </c>
      <c r="S26" s="2">
        <f t="shared" si="3"/>
        <v>2.386654940545796E-3</v>
      </c>
    </row>
    <row r="27" spans="1:19" x14ac:dyDescent="0.2">
      <c r="L27" s="8">
        <v>26</v>
      </c>
      <c r="M27">
        <v>297.95</v>
      </c>
      <c r="N27">
        <v>5.9119999999999999</v>
      </c>
      <c r="O27" s="6">
        <v>8.9035137762001355</v>
      </c>
      <c r="P27" s="2">
        <f t="shared" si="0"/>
        <v>8.9020171940691473</v>
      </c>
      <c r="Q27" s="2">
        <f t="shared" si="1"/>
        <v>1.4965821309882443E-3</v>
      </c>
      <c r="R27" s="2">
        <f t="shared" si="2"/>
        <v>8.9018089556971844</v>
      </c>
      <c r="S27" s="2">
        <f t="shared" si="3"/>
        <v>1.7048205029510655E-3</v>
      </c>
    </row>
    <row r="28" spans="1:19" x14ac:dyDescent="0.2">
      <c r="L28" s="8">
        <v>27</v>
      </c>
      <c r="M28">
        <v>302.53999999999996</v>
      </c>
      <c r="N28">
        <v>5.8970000000000002</v>
      </c>
      <c r="O28" s="2">
        <v>8.8553200332502069</v>
      </c>
      <c r="P28" s="2">
        <f t="shared" si="0"/>
        <v>8.8583936857100021</v>
      </c>
      <c r="Q28" s="2">
        <f t="shared" si="1"/>
        <v>-3.0736524597951842E-3</v>
      </c>
      <c r="R28" s="2">
        <f t="shared" si="2"/>
        <v>8.8581831403538285</v>
      </c>
      <c r="S28" s="2">
        <f t="shared" si="3"/>
        <v>-2.8631071036215872E-3</v>
      </c>
    </row>
    <row r="29" spans="1:19" x14ac:dyDescent="0.2">
      <c r="L29" s="8">
        <v>28</v>
      </c>
      <c r="M29">
        <v>307.60999999999996</v>
      </c>
      <c r="N29">
        <v>5.8970000000000002</v>
      </c>
      <c r="O29" s="6">
        <v>8.8097999999999992</v>
      </c>
      <c r="P29" s="2">
        <f t="shared" si="0"/>
        <v>8.8126722362476926</v>
      </c>
      <c r="Q29" s="2">
        <f t="shared" si="1"/>
        <v>-2.8722362476933938E-3</v>
      </c>
      <c r="R29" s="2">
        <f t="shared" si="2"/>
        <v>8.8124589083977352</v>
      </c>
      <c r="S29" s="2">
        <f t="shared" si="3"/>
        <v>-2.6589083977359707E-3</v>
      </c>
    </row>
    <row r="30" spans="1:19" x14ac:dyDescent="0.2">
      <c r="L30" s="17">
        <v>29</v>
      </c>
      <c r="M30" s="3">
        <v>275.41999999999996</v>
      </c>
      <c r="N30">
        <v>14.657</v>
      </c>
      <c r="O30" s="6">
        <v>9.0316803419232201</v>
      </c>
      <c r="P30" s="2">
        <f t="shared" si="0"/>
        <v>9.030745819537314</v>
      </c>
      <c r="Q30" s="2">
        <f t="shared" si="1"/>
        <v>9.3452238590607806E-4</v>
      </c>
      <c r="R30" s="2">
        <f t="shared" si="2"/>
        <v>9.0304611348614348</v>
      </c>
      <c r="S30" s="2">
        <f t="shared" si="3"/>
        <v>1.2192070617853545E-3</v>
      </c>
    </row>
    <row r="31" spans="1:19" x14ac:dyDescent="0.2">
      <c r="L31" s="8">
        <v>30</v>
      </c>
      <c r="M31" s="3">
        <v>283.47999999999996</v>
      </c>
      <c r="N31">
        <v>14.657</v>
      </c>
      <c r="O31" s="6">
        <v>8.9275832146671412</v>
      </c>
      <c r="P31" s="2">
        <f t="shared" si="0"/>
        <v>8.9282029832441268</v>
      </c>
      <c r="Q31" s="2">
        <f t="shared" si="1"/>
        <v>-6.1976857698553545E-4</v>
      </c>
      <c r="R31" s="2">
        <f t="shared" si="2"/>
        <v>8.9279112661876461</v>
      </c>
      <c r="S31" s="2">
        <f t="shared" si="3"/>
        <v>-3.2805152050485731E-4</v>
      </c>
    </row>
    <row r="32" spans="1:19" x14ac:dyDescent="0.2">
      <c r="L32" s="8">
        <v>31</v>
      </c>
      <c r="M32" s="3">
        <v>288.64499999999998</v>
      </c>
      <c r="N32" s="1">
        <v>14.52</v>
      </c>
      <c r="O32" s="2">
        <v>8.8662283578174197</v>
      </c>
      <c r="P32" s="2">
        <f t="shared" si="0"/>
        <v>8.8681968327845979</v>
      </c>
      <c r="Q32" s="2">
        <f t="shared" si="1"/>
        <v>-1.9684749671782242E-3</v>
      </c>
      <c r="R32" s="2">
        <f t="shared" si="2"/>
        <v>8.8679018087052803</v>
      </c>
      <c r="S32" s="2">
        <f t="shared" si="3"/>
        <v>-1.6734508878606391E-3</v>
      </c>
    </row>
    <row r="33" spans="12:19" x14ac:dyDescent="0.2">
      <c r="L33" s="17">
        <v>32</v>
      </c>
      <c r="M33" s="3">
        <v>293.15499999999997</v>
      </c>
      <c r="N33" s="1">
        <v>14.52</v>
      </c>
      <c r="O33" s="2">
        <v>8.8143630737493002</v>
      </c>
      <c r="P33" s="2">
        <f t="shared" si="0"/>
        <v>8.8169172813357299</v>
      </c>
      <c r="Q33" s="2">
        <f t="shared" si="1"/>
        <v>-2.5542075864297686E-3</v>
      </c>
      <c r="R33" s="2">
        <f t="shared" si="2"/>
        <v>8.816618339015351</v>
      </c>
      <c r="S33" s="2">
        <f t="shared" si="3"/>
        <v>-2.2552652660507988E-3</v>
      </c>
    </row>
    <row r="34" spans="12:19" x14ac:dyDescent="0.2">
      <c r="L34" s="8">
        <v>33</v>
      </c>
      <c r="M34" s="3">
        <v>297.97499999999997</v>
      </c>
      <c r="N34">
        <v>15.743</v>
      </c>
      <c r="O34" s="6">
        <v>8.7530373140635582</v>
      </c>
      <c r="P34" s="2">
        <f t="shared" si="0"/>
        <v>8.7503595271331971</v>
      </c>
      <c r="Q34" s="2">
        <f t="shared" si="1"/>
        <v>2.6777869303611368E-3</v>
      </c>
      <c r="R34" s="2">
        <f t="shared" si="2"/>
        <v>8.7500455215847008</v>
      </c>
      <c r="S34" s="2">
        <f t="shared" si="3"/>
        <v>2.9917924788573913E-3</v>
      </c>
    </row>
    <row r="35" spans="12:19" x14ac:dyDescent="0.2">
      <c r="L35" s="8">
        <v>34</v>
      </c>
      <c r="M35" s="3">
        <v>302.92500000000001</v>
      </c>
      <c r="N35">
        <v>15.743</v>
      </c>
      <c r="O35" s="2">
        <v>8.702070864505405</v>
      </c>
      <c r="P35" s="2">
        <f t="shared" si="0"/>
        <v>8.6983846366217694</v>
      </c>
      <c r="Q35" s="2">
        <f t="shared" si="1"/>
        <v>3.6862278836355955E-3</v>
      </c>
      <c r="R35" s="2">
        <f t="shared" si="2"/>
        <v>8.698066147519631</v>
      </c>
      <c r="S35" s="2">
        <f t="shared" si="3"/>
        <v>4.0047169857739817E-3</v>
      </c>
    </row>
    <row r="36" spans="12:19" x14ac:dyDescent="0.2">
      <c r="L36" s="8">
        <v>35</v>
      </c>
      <c r="M36">
        <v>307.89</v>
      </c>
      <c r="N36" s="1">
        <v>14.52</v>
      </c>
      <c r="O36" s="2">
        <v>8.6611999999999991</v>
      </c>
      <c r="P36" s="2">
        <f t="shared" si="0"/>
        <v>8.6635068288628361</v>
      </c>
      <c r="Q36" s="2">
        <f t="shared" si="1"/>
        <v>-2.3068288628369515E-3</v>
      </c>
      <c r="R36" s="2">
        <f t="shared" si="2"/>
        <v>8.663195079771123</v>
      </c>
      <c r="S36" s="2">
        <f t="shared" si="3"/>
        <v>-1.9950797711238977E-3</v>
      </c>
    </row>
    <row r="37" spans="12:19" x14ac:dyDescent="0.2">
      <c r="L37" s="8">
        <v>36</v>
      </c>
      <c r="M37" s="3">
        <v>275.38</v>
      </c>
      <c r="N37" s="4">
        <v>24.65</v>
      </c>
      <c r="O37" s="2">
        <v>8.9433744863989997</v>
      </c>
      <c r="P37" s="2">
        <f t="shared" si="0"/>
        <v>8.9439837041422408</v>
      </c>
      <c r="Q37" s="2">
        <f t="shared" si="1"/>
        <v>-6.0921774324107503E-4</v>
      </c>
      <c r="R37" s="2">
        <f t="shared" si="2"/>
        <v>8.9436261960191246</v>
      </c>
      <c r="S37" s="2">
        <f t="shared" si="3"/>
        <v>-2.5170962012488474E-4</v>
      </c>
    </row>
    <row r="38" spans="12:19" x14ac:dyDescent="0.2">
      <c r="L38" s="8">
        <v>37</v>
      </c>
      <c r="M38" s="3">
        <v>283.58499999999998</v>
      </c>
      <c r="N38" s="4">
        <v>24.65</v>
      </c>
      <c r="O38" s="2">
        <v>8.8398284531861879</v>
      </c>
      <c r="P38" s="2">
        <f t="shared" si="0"/>
        <v>8.8382615513237059</v>
      </c>
      <c r="Q38" s="2">
        <f t="shared" si="1"/>
        <v>1.5669018624819842E-3</v>
      </c>
      <c r="R38" s="2">
        <f t="shared" si="2"/>
        <v>8.8378947051407604</v>
      </c>
      <c r="S38" s="2">
        <f t="shared" si="3"/>
        <v>1.9337480454275635E-3</v>
      </c>
    </row>
    <row r="39" spans="12:19" x14ac:dyDescent="0.2">
      <c r="L39" s="8">
        <v>38</v>
      </c>
      <c r="M39">
        <v>288.58</v>
      </c>
      <c r="N39" s="4">
        <v>24.65</v>
      </c>
      <c r="O39" s="2">
        <v>8.7743529206016078</v>
      </c>
      <c r="P39" s="2">
        <f t="shared" si="0"/>
        <v>8.7771004689464789</v>
      </c>
      <c r="Q39" s="2">
        <f t="shared" si="1"/>
        <v>-2.7475483448711202E-3</v>
      </c>
      <c r="R39" s="2">
        <f t="shared" si="2"/>
        <v>8.7767279366894062</v>
      </c>
      <c r="S39" s="2">
        <f t="shared" si="3"/>
        <v>-2.3750160877984428E-3</v>
      </c>
    </row>
    <row r="40" spans="12:19" x14ac:dyDescent="0.2">
      <c r="L40" s="8">
        <v>39</v>
      </c>
      <c r="M40" s="3">
        <v>293.30499999999995</v>
      </c>
      <c r="N40" s="4">
        <v>24.65</v>
      </c>
      <c r="O40" s="2">
        <v>8.7233808234485117</v>
      </c>
      <c r="P40" s="2">
        <f t="shared" si="0"/>
        <v>8.7212717200233865</v>
      </c>
      <c r="Q40" s="2">
        <f t="shared" si="1"/>
        <v>2.1091034251252694E-3</v>
      </c>
      <c r="R40" s="2">
        <f t="shared" si="2"/>
        <v>8.7208938081938037</v>
      </c>
      <c r="S40" s="2">
        <f t="shared" si="3"/>
        <v>2.4870152547080693E-3</v>
      </c>
    </row>
    <row r="41" spans="12:19" x14ac:dyDescent="0.2">
      <c r="L41" s="8">
        <v>40</v>
      </c>
      <c r="M41">
        <v>298.35000000000002</v>
      </c>
      <c r="N41" s="4">
        <v>24.65</v>
      </c>
      <c r="O41" s="2">
        <v>8.6677184646426415</v>
      </c>
      <c r="P41" s="2">
        <f t="shared" si="0"/>
        <v>8.6636736007464723</v>
      </c>
      <c r="Q41" s="2">
        <f t="shared" si="1"/>
        <v>4.0448638961692041E-3</v>
      </c>
      <c r="R41" s="2">
        <f t="shared" si="2"/>
        <v>8.6632899441371727</v>
      </c>
      <c r="S41" s="2">
        <f t="shared" si="3"/>
        <v>4.4285205054688248E-3</v>
      </c>
    </row>
    <row r="42" spans="12:19" x14ac:dyDescent="0.2">
      <c r="L42" s="8">
        <v>41</v>
      </c>
      <c r="M42">
        <v>301.95999999999998</v>
      </c>
      <c r="N42" s="4">
        <v>24.65</v>
      </c>
      <c r="O42" s="2">
        <v>8.6204332917705724</v>
      </c>
      <c r="P42" s="2">
        <f t="shared" si="0"/>
        <v>8.6236468553518044</v>
      </c>
      <c r="Q42" s="2">
        <f t="shared" si="1"/>
        <v>-3.2135635812320373E-3</v>
      </c>
      <c r="R42" s="2">
        <f t="shared" si="2"/>
        <v>8.6232590874742492</v>
      </c>
      <c r="S42" s="2">
        <f t="shared" si="3"/>
        <v>-2.8257957036768033E-3</v>
      </c>
    </row>
    <row r="43" spans="12:19" x14ac:dyDescent="0.2">
      <c r="L43" s="17">
        <v>42</v>
      </c>
      <c r="M43">
        <v>306.97999999999996</v>
      </c>
      <c r="N43" s="4">
        <v>24.65</v>
      </c>
      <c r="O43" s="2">
        <v>8.5684872015047997</v>
      </c>
      <c r="P43" s="2">
        <f t="shared" si="0"/>
        <v>8.5695192527027313</v>
      </c>
      <c r="Q43" s="2">
        <f t="shared" si="1"/>
        <v>-1.0320511979315938E-3</v>
      </c>
      <c r="R43" s="2">
        <f t="shared" si="2"/>
        <v>8.5691257670593419</v>
      </c>
      <c r="S43" s="2">
        <f t="shared" si="3"/>
        <v>-6.385655545422253E-4</v>
      </c>
    </row>
    <row r="44" spans="12:19" x14ac:dyDescent="0.2">
      <c r="L44" s="8">
        <v>43</v>
      </c>
      <c r="M44" s="3">
        <v>275.495</v>
      </c>
      <c r="N44" s="4">
        <v>35.795000000000002</v>
      </c>
      <c r="O44" s="2">
        <v>8.8763578473235789</v>
      </c>
      <c r="P44" s="2">
        <f t="shared" si="0"/>
        <v>8.8762336294001543</v>
      </c>
      <c r="Q44" s="2">
        <f t="shared" si="1"/>
        <v>1.242179234246521E-4</v>
      </c>
      <c r="R44" s="2">
        <f t="shared" si="2"/>
        <v>8.8758102483148349</v>
      </c>
      <c r="S44" s="2">
        <f t="shared" si="3"/>
        <v>5.4759900874401524E-4</v>
      </c>
    </row>
    <row r="45" spans="12:19" x14ac:dyDescent="0.2">
      <c r="L45" s="8">
        <v>44</v>
      </c>
      <c r="M45">
        <v>283.64</v>
      </c>
      <c r="N45">
        <v>35.723999999999997</v>
      </c>
      <c r="O45" s="2">
        <v>8.7697320279751008</v>
      </c>
      <c r="P45" s="2">
        <f t="shared" si="0"/>
        <v>8.7708117857139722</v>
      </c>
      <c r="Q45" s="2">
        <f t="shared" si="1"/>
        <v>-1.0797577388714785E-3</v>
      </c>
      <c r="R45" s="2">
        <f t="shared" si="2"/>
        <v>8.7703775804952837</v>
      </c>
      <c r="S45" s="2">
        <f t="shared" si="3"/>
        <v>-6.4555252018294595E-4</v>
      </c>
    </row>
    <row r="46" spans="12:19" x14ac:dyDescent="0.2">
      <c r="L46" s="8">
        <v>45</v>
      </c>
      <c r="M46">
        <v>287.95999999999998</v>
      </c>
      <c r="N46">
        <v>36.853999999999999</v>
      </c>
      <c r="O46" s="2">
        <v>8.7066172612801669</v>
      </c>
      <c r="P46" s="2">
        <f t="shared" si="0"/>
        <v>8.7110279679720453</v>
      </c>
      <c r="Q46" s="2">
        <f t="shared" si="1"/>
        <v>-4.4107066918783744E-3</v>
      </c>
      <c r="R46" s="2">
        <f t="shared" si="2"/>
        <v>8.7105814631135114</v>
      </c>
      <c r="S46" s="2">
        <f t="shared" si="3"/>
        <v>-3.9642018333445606E-3</v>
      </c>
    </row>
    <row r="47" spans="12:19" x14ac:dyDescent="0.2">
      <c r="L47" s="8">
        <v>46</v>
      </c>
      <c r="M47">
        <v>293.13</v>
      </c>
      <c r="N47">
        <v>35.570999999999998</v>
      </c>
      <c r="O47" s="2">
        <v>8.6511679130135803</v>
      </c>
      <c r="P47" s="2">
        <f t="shared" si="0"/>
        <v>8.6544939031527885</v>
      </c>
      <c r="Q47" s="2">
        <f t="shared" si="1"/>
        <v>-3.3259901392082014E-3</v>
      </c>
      <c r="R47" s="2">
        <f t="shared" si="2"/>
        <v>8.6540475185085501</v>
      </c>
      <c r="S47" s="2">
        <f t="shared" si="3"/>
        <v>-2.8796054949697947E-3</v>
      </c>
    </row>
    <row r="48" spans="12:19" x14ac:dyDescent="0.2">
      <c r="L48" s="8">
        <v>47</v>
      </c>
      <c r="M48">
        <v>297.67999999999995</v>
      </c>
      <c r="N48">
        <v>35.564</v>
      </c>
      <c r="O48" s="2">
        <v>8.6022861730899294</v>
      </c>
      <c r="P48" s="2">
        <f t="shared" si="0"/>
        <v>8.6004466936159236</v>
      </c>
      <c r="Q48" s="2">
        <f t="shared" si="1"/>
        <v>1.8394794740057563E-3</v>
      </c>
      <c r="R48" s="2">
        <f t="shared" si="2"/>
        <v>8.5999940997555875</v>
      </c>
      <c r="S48" s="2">
        <f t="shared" si="3"/>
        <v>2.2920733343418931E-3</v>
      </c>
    </row>
    <row r="49" spans="12:19" x14ac:dyDescent="0.2">
      <c r="L49" s="8">
        <v>48</v>
      </c>
      <c r="M49">
        <v>303.14999999999998</v>
      </c>
      <c r="N49">
        <v>35.723999999999997</v>
      </c>
      <c r="O49" s="2">
        <v>8.5391832917705734</v>
      </c>
      <c r="P49" s="2">
        <f t="shared" si="0"/>
        <v>8.5360872498671725</v>
      </c>
      <c r="Q49" s="2">
        <f t="shared" si="1"/>
        <v>3.096041903400959E-3</v>
      </c>
      <c r="R49" s="2">
        <f t="shared" si="2"/>
        <v>8.5356261863460361</v>
      </c>
      <c r="S49" s="2">
        <f t="shared" si="3"/>
        <v>3.5571054245373546E-3</v>
      </c>
    </row>
    <row r="50" spans="12:19" x14ac:dyDescent="0.2">
      <c r="L50" s="8">
        <v>49</v>
      </c>
      <c r="M50" s="3">
        <v>307.22499999999997</v>
      </c>
      <c r="N50">
        <v>35.723999999999997</v>
      </c>
      <c r="O50" s="2">
        <v>8.4930603123977768</v>
      </c>
      <c r="P50" s="2">
        <f t="shared" si="0"/>
        <v>8.489809407414052</v>
      </c>
      <c r="Q50" s="2">
        <f t="shared" si="1"/>
        <v>3.2509049837248227E-3</v>
      </c>
      <c r="R50" s="2">
        <f t="shared" si="2"/>
        <v>8.4893427325042197</v>
      </c>
      <c r="S50" s="2">
        <f t="shared" si="3"/>
        <v>3.7175798935571436E-3</v>
      </c>
    </row>
    <row r="51" spans="12:19" x14ac:dyDescent="0.2">
      <c r="L51" s="8">
        <v>50</v>
      </c>
      <c r="M51" s="3">
        <v>275.14999999999998</v>
      </c>
      <c r="N51">
        <v>45.658000000000001</v>
      </c>
      <c r="O51" s="2">
        <v>8.8384531861899998</v>
      </c>
      <c r="P51" s="2">
        <f t="shared" si="0"/>
        <v>8.8378468321569734</v>
      </c>
      <c r="Q51" s="2">
        <f t="shared" si="1"/>
        <v>6.0635403302633506E-4</v>
      </c>
      <c r="R51" s="2">
        <f t="shared" si="2"/>
        <v>8.8373737165416024</v>
      </c>
      <c r="S51" s="2">
        <f t="shared" si="3"/>
        <v>1.0794696483973354E-3</v>
      </c>
    </row>
    <row r="52" spans="12:19" x14ac:dyDescent="0.2">
      <c r="L52" s="8">
        <v>51</v>
      </c>
      <c r="M52">
        <v>283.65999999999997</v>
      </c>
      <c r="N52">
        <v>45.658000000000001</v>
      </c>
      <c r="O52" s="6">
        <v>8.7259645336418661</v>
      </c>
      <c r="P52" s="2">
        <f t="shared" si="0"/>
        <v>8.7267390744980027</v>
      </c>
      <c r="Q52" s="2">
        <f t="shared" si="1"/>
        <v>-7.7454085613659629E-4</v>
      </c>
      <c r="R52" s="2">
        <f t="shared" si="2"/>
        <v>8.7262526781058831</v>
      </c>
      <c r="S52" s="2">
        <f t="shared" si="3"/>
        <v>-2.8814446401703719E-4</v>
      </c>
    </row>
    <row r="53" spans="12:19" x14ac:dyDescent="0.2">
      <c r="L53" s="8">
        <v>52</v>
      </c>
      <c r="M53">
        <v>288.45999999999998</v>
      </c>
      <c r="N53">
        <v>45.865000000000002</v>
      </c>
      <c r="O53" s="2">
        <v>8.6652015770473199</v>
      </c>
      <c r="P53" s="2">
        <f t="shared" si="0"/>
        <v>8.6651220652331524</v>
      </c>
      <c r="Q53" s="2">
        <f t="shared" si="1"/>
        <v>7.9511814167432249E-5</v>
      </c>
      <c r="R53" s="2">
        <f t="shared" si="2"/>
        <v>8.6646271338198506</v>
      </c>
      <c r="S53" s="2">
        <f t="shared" si="3"/>
        <v>5.744432274692457E-4</v>
      </c>
    </row>
    <row r="54" spans="12:19" x14ac:dyDescent="0.2">
      <c r="L54" s="8">
        <v>53</v>
      </c>
      <c r="M54">
        <v>293.38</v>
      </c>
      <c r="N54">
        <v>45.865000000000002</v>
      </c>
      <c r="O54" s="2">
        <v>8.6016309523809493</v>
      </c>
      <c r="P54" s="2">
        <f t="shared" si="0"/>
        <v>8.6040032280935215</v>
      </c>
      <c r="Q54" s="2">
        <f t="shared" si="1"/>
        <v>-2.3722757125721472E-3</v>
      </c>
      <c r="R54" s="2">
        <f t="shared" si="2"/>
        <v>8.6035005986458728</v>
      </c>
      <c r="S54" s="2">
        <f t="shared" si="3"/>
        <v>-1.8696462649234746E-3</v>
      </c>
    </row>
    <row r="55" spans="12:19" x14ac:dyDescent="0.2">
      <c r="L55" s="17">
        <v>54</v>
      </c>
      <c r="M55">
        <v>297.83</v>
      </c>
      <c r="N55">
        <v>45.865000000000002</v>
      </c>
      <c r="O55" s="2">
        <v>8.5493426132522004</v>
      </c>
      <c r="P55" s="2">
        <f t="shared" si="0"/>
        <v>8.5496931509859078</v>
      </c>
      <c r="Q55" s="2">
        <f t="shared" si="1"/>
        <v>-3.5053773370741226E-4</v>
      </c>
      <c r="R55" s="2">
        <f t="shared" si="2"/>
        <v>8.5491835582023583</v>
      </c>
      <c r="S55" s="2">
        <f t="shared" si="3"/>
        <v>1.5905504984203844E-4</v>
      </c>
    </row>
    <row r="56" spans="12:19" x14ac:dyDescent="0.2">
      <c r="L56" s="8">
        <v>55</v>
      </c>
      <c r="M56">
        <v>302.07</v>
      </c>
      <c r="N56">
        <v>45.865000000000002</v>
      </c>
      <c r="O56" s="2">
        <v>8.4994064415700006</v>
      </c>
      <c r="P56" s="2">
        <f t="shared" si="0"/>
        <v>8.4987263578459764</v>
      </c>
      <c r="Q56" s="2">
        <f t="shared" si="1"/>
        <v>6.8008372402417194E-4</v>
      </c>
      <c r="R56" s="2">
        <f t="shared" si="2"/>
        <v>8.4982101297535557</v>
      </c>
      <c r="S56" s="2">
        <f t="shared" si="3"/>
        <v>1.1963118164448616E-3</v>
      </c>
    </row>
    <row r="57" spans="12:19" x14ac:dyDescent="0.2">
      <c r="L57" s="8">
        <v>56</v>
      </c>
      <c r="M57">
        <v>307.74</v>
      </c>
      <c r="N57">
        <v>45.865000000000002</v>
      </c>
      <c r="O57" s="2">
        <v>8.4350603123977805</v>
      </c>
      <c r="P57" s="2">
        <f t="shared" si="0"/>
        <v>8.4316461522945101</v>
      </c>
      <c r="Q57" s="2">
        <f t="shared" si="1"/>
        <v>3.4141601032704472E-3</v>
      </c>
      <c r="R57" s="2">
        <f t="shared" si="2"/>
        <v>8.4311210501928198</v>
      </c>
      <c r="S57" s="2">
        <f t="shared" si="3"/>
        <v>3.9392622049607695E-3</v>
      </c>
    </row>
    <row r="58" spans="12:19" x14ac:dyDescent="0.2">
      <c r="L58" s="8">
        <v>57</v>
      </c>
      <c r="M58">
        <v>273.14999999999998</v>
      </c>
      <c r="N58">
        <v>0</v>
      </c>
      <c r="O58" s="2">
        <v>9.5025585923890397</v>
      </c>
      <c r="P58" s="2">
        <f t="shared" si="0"/>
        <v>9.5019185067738974</v>
      </c>
      <c r="Q58" s="2">
        <f t="shared" si="1"/>
        <v>6.400856151422829E-4</v>
      </c>
      <c r="R58" s="2">
        <f t="shared" si="2"/>
        <v>9.5018740953101783</v>
      </c>
      <c r="S58" s="2">
        <f t="shared" si="3"/>
        <v>6.844970788613125E-4</v>
      </c>
    </row>
    <row r="59" spans="12:19" x14ac:dyDescent="0.2">
      <c r="L59" s="8">
        <v>58</v>
      </c>
      <c r="M59">
        <v>278.14999999999998</v>
      </c>
      <c r="N59">
        <v>0</v>
      </c>
      <c r="O59" s="2">
        <v>9.4387683825509363</v>
      </c>
      <c r="P59" s="2">
        <f t="shared" si="0"/>
        <v>9.438725596860273</v>
      </c>
      <c r="Q59" s="2">
        <f t="shared" si="1"/>
        <v>4.2785690663293963E-5</v>
      </c>
      <c r="R59" s="2">
        <f t="shared" si="2"/>
        <v>9.4386812309279051</v>
      </c>
      <c r="S59" s="2">
        <f t="shared" si="3"/>
        <v>8.7151623031189729E-5</v>
      </c>
    </row>
    <row r="60" spans="12:19" x14ac:dyDescent="0.2">
      <c r="L60" s="8">
        <v>59</v>
      </c>
      <c r="M60">
        <v>283.14999999999998</v>
      </c>
      <c r="N60">
        <v>0</v>
      </c>
      <c r="O60" s="2">
        <v>9.3805996831057872</v>
      </c>
      <c r="P60" s="2">
        <f t="shared" si="0"/>
        <v>9.3809488875194162</v>
      </c>
      <c r="Q60" s="2">
        <f t="shared" si="1"/>
        <v>-3.4920441362906729E-4</v>
      </c>
      <c r="R60" s="2">
        <f t="shared" si="2"/>
        <v>9.3809045658641352</v>
      </c>
      <c r="S60" s="2">
        <f t="shared" si="3"/>
        <v>-3.0488275834805734E-4</v>
      </c>
    </row>
    <row r="61" spans="12:19" x14ac:dyDescent="0.2">
      <c r="L61" s="8">
        <v>60</v>
      </c>
      <c r="M61">
        <v>288.14999999999998</v>
      </c>
      <c r="N61">
        <v>0</v>
      </c>
      <c r="O61" s="2">
        <v>9.327701400560402</v>
      </c>
      <c r="P61" s="2">
        <f t="shared" si="0"/>
        <v>9.3282511697589356</v>
      </c>
      <c r="Q61" s="2">
        <f t="shared" si="1"/>
        <v>-5.4976919853366724E-4</v>
      </c>
      <c r="R61" s="2">
        <f t="shared" si="2"/>
        <v>9.3282068911856157</v>
      </c>
      <c r="S61" s="2">
        <f t="shared" si="3"/>
        <v>-5.0549062521376698E-4</v>
      </c>
    </row>
    <row r="62" spans="12:19" x14ac:dyDescent="0.2">
      <c r="L62" s="8">
        <v>61</v>
      </c>
      <c r="M62">
        <v>293.14999999999998</v>
      </c>
      <c r="N62">
        <v>0</v>
      </c>
      <c r="O62" s="2">
        <v>9.279748389054344</v>
      </c>
      <c r="P62" s="2">
        <f t="shared" si="0"/>
        <v>9.2803201258883092</v>
      </c>
      <c r="Q62" s="2">
        <f t="shared" si="1"/>
        <v>-5.7173683396527508E-4</v>
      </c>
      <c r="R62" s="2">
        <f t="shared" si="2"/>
        <v>9.2802758892571688</v>
      </c>
      <c r="S62" s="2">
        <f t="shared" si="3"/>
        <v>-5.2750020282488208E-4</v>
      </c>
    </row>
    <row r="63" spans="12:19" x14ac:dyDescent="0.2">
      <c r="L63" s="8">
        <v>62</v>
      </c>
      <c r="M63">
        <v>298.14999999999998</v>
      </c>
      <c r="N63">
        <v>0</v>
      </c>
      <c r="O63" s="2">
        <v>9.236439174278031</v>
      </c>
      <c r="P63" s="2">
        <f t="shared" si="0"/>
        <v>9.2368661474991853</v>
      </c>
      <c r="Q63" s="2">
        <f t="shared" si="1"/>
        <v>-4.2697322115436975E-4</v>
      </c>
      <c r="R63" s="2">
        <f t="shared" si="2"/>
        <v>9.2368219517222343</v>
      </c>
      <c r="S63" s="2">
        <f t="shared" si="3"/>
        <v>-3.8277744420334159E-4</v>
      </c>
    </row>
    <row r="64" spans="12:19" x14ac:dyDescent="0.2">
      <c r="L64" s="8">
        <v>63</v>
      </c>
      <c r="M64">
        <v>303.14999999999998</v>
      </c>
      <c r="N64">
        <v>0</v>
      </c>
      <c r="O64" s="2">
        <v>9.197493909256881</v>
      </c>
      <c r="P64" s="2">
        <f t="shared" si="0"/>
        <v>9.1976203756408879</v>
      </c>
      <c r="Q64" s="2">
        <f t="shared" si="1"/>
        <v>-1.2646638400681809E-4</v>
      </c>
      <c r="R64" s="2">
        <f t="shared" si="2"/>
        <v>9.1975762196787443</v>
      </c>
      <c r="S64" s="2">
        <f t="shared" si="3"/>
        <v>-8.231042186324089E-5</v>
      </c>
    </row>
    <row r="65" spans="12:19" x14ac:dyDescent="0.2">
      <c r="L65" s="8">
        <v>64</v>
      </c>
      <c r="M65">
        <v>308.14999999999998</v>
      </c>
      <c r="N65">
        <v>0</v>
      </c>
      <c r="O65" s="2">
        <v>9.1626525351283945</v>
      </c>
      <c r="P65" s="2">
        <f t="shared" si="0"/>
        <v>9.1623329374462728</v>
      </c>
      <c r="Q65" s="2">
        <f t="shared" si="1"/>
        <v>3.1959768212175277E-4</v>
      </c>
      <c r="R65" s="2">
        <f t="shared" si="2"/>
        <v>9.1622888203051218</v>
      </c>
      <c r="S65" s="2">
        <f t="shared" si="3"/>
        <v>3.6371482327268723E-4</v>
      </c>
    </row>
    <row r="66" spans="12:19" x14ac:dyDescent="0.2">
      <c r="L66" s="8">
        <v>65</v>
      </c>
      <c r="M66">
        <v>313.14999999999998</v>
      </c>
      <c r="N66">
        <v>0</v>
      </c>
      <c r="O66" s="2">
        <v>9.1316731235234538</v>
      </c>
      <c r="P66" s="2">
        <f t="shared" si="0"/>
        <v>9.1307713567995279</v>
      </c>
      <c r="Q66" s="2">
        <f t="shared" si="1"/>
        <v>9.0176672392594526E-4</v>
      </c>
      <c r="R66" s="2">
        <f t="shared" si="2"/>
        <v>9.1307272775283934</v>
      </c>
      <c r="S66" s="2">
        <f t="shared" si="3"/>
        <v>9.4584599506042366E-4</v>
      </c>
    </row>
    <row r="67" spans="12:19" x14ac:dyDescent="0.2">
      <c r="L67" s="8">
        <v>66</v>
      </c>
      <c r="M67">
        <v>318.14999999999998</v>
      </c>
      <c r="N67">
        <v>0</v>
      </c>
      <c r="O67" s="2">
        <v>9.104330380148129</v>
      </c>
      <c r="P67" s="2">
        <f t="shared" ref="P67:P117" si="4">$B$13+$B$14*1/M67+$B$15*N67^0.5/M67+$B$16*(N67^0.5/(1+N67^0.5))+$B$17*LN(M67)+$B$18*N67^0.5*LN(M67)+$B$19*N67^0.5*M67+$B$20*N67*M67</f>
        <v>9.1027191194979693</v>
      </c>
      <c r="Q67" s="2">
        <f t="shared" ref="Q67:Q117" si="5">O67-P67</f>
        <v>1.6112606501597071E-3</v>
      </c>
      <c r="R67" s="2">
        <f t="shared" ref="R67:R117" si="6">-60.4127+(3725.246/M67)+(-201.715*N67^(1/2)/M67)+(-0.07761*N67^(1/2)/(1+N67^(1/2)))+(10.03142*LN(M67))+(0.304366*N67^(1/2)*LN(M67))+(-0.003981*N67^(1/2)*M67)+(0.00001843*N67*M67)</f>
        <v>9.1026750771861913</v>
      </c>
      <c r="S67" s="2">
        <f t="shared" ref="S67:S117" si="7">O67-R67</f>
        <v>1.6553029619377213E-3</v>
      </c>
    </row>
    <row r="68" spans="12:19" x14ac:dyDescent="0.2">
      <c r="L68" s="8">
        <v>67</v>
      </c>
      <c r="M68">
        <v>273.14999999999998</v>
      </c>
      <c r="N68">
        <v>5</v>
      </c>
      <c r="O68" s="2">
        <v>9.2104739427559732</v>
      </c>
      <c r="P68" s="2">
        <f t="shared" si="4"/>
        <v>9.2088775696077239</v>
      </c>
      <c r="Q68" s="2">
        <f t="shared" si="5"/>
        <v>1.5963731482493415E-3</v>
      </c>
      <c r="R68" s="2">
        <f t="shared" si="6"/>
        <v>9.2086951863876507</v>
      </c>
      <c r="S68" s="2">
        <f t="shared" si="7"/>
        <v>1.7787563683224761E-3</v>
      </c>
    </row>
    <row r="69" spans="12:19" x14ac:dyDescent="0.2">
      <c r="L69" s="8">
        <v>68</v>
      </c>
      <c r="M69">
        <v>278.14999999999998</v>
      </c>
      <c r="N69">
        <v>5</v>
      </c>
      <c r="O69" s="2">
        <v>9.1443308931621079</v>
      </c>
      <c r="P69" s="2">
        <f t="shared" si="4"/>
        <v>9.1436677863909406</v>
      </c>
      <c r="Q69" s="2">
        <f t="shared" si="5"/>
        <v>6.6310677116732109E-4</v>
      </c>
      <c r="R69" s="2">
        <f t="shared" si="6"/>
        <v>9.1434828870475755</v>
      </c>
      <c r="S69" s="2">
        <f t="shared" si="7"/>
        <v>8.4800611453239583E-4</v>
      </c>
    </row>
    <row r="70" spans="12:19" x14ac:dyDescent="0.2">
      <c r="L70" s="8">
        <v>69</v>
      </c>
      <c r="M70">
        <v>283.14999999999998</v>
      </c>
      <c r="N70">
        <v>5</v>
      </c>
      <c r="O70" s="2">
        <v>9.0830085123173703</v>
      </c>
      <c r="P70" s="2">
        <f t="shared" si="4"/>
        <v>9.0826059229469305</v>
      </c>
      <c r="Q70" s="2">
        <f t="shared" si="5"/>
        <v>4.025893704397987E-4</v>
      </c>
      <c r="R70" s="2">
        <f t="shared" si="6"/>
        <v>9.0824185063299669</v>
      </c>
      <c r="S70" s="2">
        <f t="shared" si="7"/>
        <v>5.9000598740333032E-4</v>
      </c>
    </row>
    <row r="71" spans="12:19" x14ac:dyDescent="0.2">
      <c r="L71" s="8">
        <v>70</v>
      </c>
      <c r="M71">
        <v>288.14999999999998</v>
      </c>
      <c r="N71">
        <v>5</v>
      </c>
      <c r="O71" s="2">
        <v>9.0261593646362339</v>
      </c>
      <c r="P71" s="2">
        <f t="shared" si="4"/>
        <v>9.0254170429261542</v>
      </c>
      <c r="Q71" s="2">
        <f t="shared" si="5"/>
        <v>7.4232171007970749E-4</v>
      </c>
      <c r="R71" s="2">
        <f t="shared" si="6"/>
        <v>9.0252271079389672</v>
      </c>
      <c r="S71" s="2">
        <f t="shared" si="7"/>
        <v>9.3225669726670901E-4</v>
      </c>
    </row>
    <row r="72" spans="12:19" x14ac:dyDescent="0.2">
      <c r="L72" s="8">
        <v>71</v>
      </c>
      <c r="M72">
        <v>293.14999999999998</v>
      </c>
      <c r="N72">
        <v>5</v>
      </c>
      <c r="O72" s="2">
        <v>8.9728714317067038</v>
      </c>
      <c r="P72" s="2">
        <f t="shared" si="4"/>
        <v>8.971846980678901</v>
      </c>
      <c r="Q72" s="2">
        <f t="shared" si="5"/>
        <v>1.0244510278027974E-3</v>
      </c>
      <c r="R72" s="2">
        <f t="shared" si="6"/>
        <v>8.9716545262751417</v>
      </c>
      <c r="S72" s="2">
        <f t="shared" si="7"/>
        <v>1.2169054315620542E-3</v>
      </c>
    </row>
    <row r="73" spans="12:19" x14ac:dyDescent="0.2">
      <c r="L73" s="8">
        <v>72</v>
      </c>
      <c r="M73">
        <v>298.14999999999998</v>
      </c>
      <c r="N73">
        <v>5</v>
      </c>
      <c r="O73" s="2">
        <v>8.9232750018733533</v>
      </c>
      <c r="P73" s="2">
        <f t="shared" si="4"/>
        <v>8.9216604983130576</v>
      </c>
      <c r="Q73" s="2">
        <f t="shared" si="5"/>
        <v>1.6145035602956881E-3</v>
      </c>
      <c r="R73" s="2">
        <f t="shared" si="6"/>
        <v>8.9214655234933957</v>
      </c>
      <c r="S73" s="2">
        <f t="shared" si="7"/>
        <v>1.8094783799575964E-3</v>
      </c>
    </row>
    <row r="74" spans="12:19" x14ac:dyDescent="0.2">
      <c r="L74" s="8">
        <v>73</v>
      </c>
      <c r="M74">
        <v>303.14999999999998</v>
      </c>
      <c r="N74">
        <v>5</v>
      </c>
      <c r="O74" s="2">
        <v>8.8765014861723746</v>
      </c>
      <c r="P74" s="2">
        <f t="shared" si="4"/>
        <v>8.8746396318163665</v>
      </c>
      <c r="Q74" s="2">
        <f t="shared" si="5"/>
        <v>1.8618543560080525E-3</v>
      </c>
      <c r="R74" s="2">
        <f t="shared" si="6"/>
        <v>8.8744421356256638</v>
      </c>
      <c r="S74" s="2">
        <f t="shared" si="7"/>
        <v>2.0593505467108031E-3</v>
      </c>
    </row>
    <row r="75" spans="12:19" x14ac:dyDescent="0.2">
      <c r="L75" s="8">
        <v>74</v>
      </c>
      <c r="M75">
        <v>308.14999999999998</v>
      </c>
      <c r="N75">
        <v>5</v>
      </c>
      <c r="O75" s="2">
        <v>8.8322034490182428</v>
      </c>
      <c r="P75" s="2">
        <f t="shared" si="4"/>
        <v>8.8305822042269764</v>
      </c>
      <c r="Q75" s="2">
        <f t="shared" si="5"/>
        <v>1.6212447912664629E-3</v>
      </c>
      <c r="R75" s="2">
        <f t="shared" si="6"/>
        <v>8.8303821857515228</v>
      </c>
      <c r="S75" s="2">
        <f t="shared" si="7"/>
        <v>1.8212632667200523E-3</v>
      </c>
    </row>
    <row r="76" spans="12:19" x14ac:dyDescent="0.2">
      <c r="L76" s="8">
        <v>75</v>
      </c>
      <c r="M76">
        <v>313.14999999999998</v>
      </c>
      <c r="N76">
        <v>5</v>
      </c>
      <c r="O76" s="2">
        <v>8.7895991603435313</v>
      </c>
      <c r="P76" s="2">
        <f t="shared" si="4"/>
        <v>8.7893004866994193</v>
      </c>
      <c r="Q76" s="2">
        <f t="shared" si="5"/>
        <v>2.9867364411195751E-4</v>
      </c>
      <c r="R76" s="2">
        <f t="shared" si="6"/>
        <v>8.789097945064464</v>
      </c>
      <c r="S76" s="2">
        <f t="shared" si="7"/>
        <v>5.012152790673241E-4</v>
      </c>
    </row>
    <row r="77" spans="12:19" x14ac:dyDescent="0.2">
      <c r="L77" s="8">
        <v>76</v>
      </c>
      <c r="M77">
        <v>318.14999999999998</v>
      </c>
      <c r="N77">
        <v>5</v>
      </c>
      <c r="O77" s="2">
        <v>8.7489057673891981</v>
      </c>
      <c r="P77" s="2">
        <f t="shared" si="4"/>
        <v>8.7506199907671487</v>
      </c>
      <c r="Q77" s="2">
        <f t="shared" si="5"/>
        <v>-1.7142233779505744E-3</v>
      </c>
      <c r="R77" s="2">
        <f t="shared" si="6"/>
        <v>8.7504149251346295</v>
      </c>
      <c r="S77" s="2">
        <f t="shared" si="7"/>
        <v>-1.5091577454313665E-3</v>
      </c>
    </row>
    <row r="78" spans="12:19" x14ac:dyDescent="0.2">
      <c r="L78" s="8">
        <v>77</v>
      </c>
      <c r="M78">
        <v>273.14999999999998</v>
      </c>
      <c r="N78">
        <v>15</v>
      </c>
      <c r="O78" s="2">
        <v>9.0580365796079327</v>
      </c>
      <c r="P78" s="2">
        <f t="shared" si="4"/>
        <v>9.0574757246392217</v>
      </c>
      <c r="Q78" s="2">
        <f t="shared" si="5"/>
        <v>5.6085496871105534E-4</v>
      </c>
      <c r="R78" s="2">
        <f t="shared" si="6"/>
        <v>9.0571901980002743</v>
      </c>
      <c r="S78" s="2">
        <f t="shared" si="7"/>
        <v>8.4638160765848625E-4</v>
      </c>
    </row>
    <row r="79" spans="12:19" x14ac:dyDescent="0.2">
      <c r="L79" s="8">
        <v>78</v>
      </c>
      <c r="M79">
        <v>278.14999999999998</v>
      </c>
      <c r="N79">
        <v>15</v>
      </c>
      <c r="O79" s="2">
        <v>8.9911986588430217</v>
      </c>
      <c r="P79" s="2">
        <f t="shared" si="4"/>
        <v>8.9913737174716264</v>
      </c>
      <c r="Q79" s="2">
        <f t="shared" si="5"/>
        <v>-1.7505862860467403E-4</v>
      </c>
      <c r="R79" s="2">
        <f t="shared" si="6"/>
        <v>8.9910837772589165</v>
      </c>
      <c r="S79" s="2">
        <f t="shared" si="7"/>
        <v>1.1488158410521976E-4</v>
      </c>
    </row>
    <row r="80" spans="12:19" x14ac:dyDescent="0.2">
      <c r="L80" s="8">
        <v>79</v>
      </c>
      <c r="M80">
        <v>283.14999999999998</v>
      </c>
      <c r="N80">
        <v>15</v>
      </c>
      <c r="O80" s="2">
        <v>8.9279219528297187</v>
      </c>
      <c r="P80" s="2">
        <f t="shared" si="4"/>
        <v>8.9284911840929446</v>
      </c>
      <c r="Q80" s="2">
        <f t="shared" si="5"/>
        <v>-5.6923126322594442E-4</v>
      </c>
      <c r="R80" s="2">
        <f t="shared" si="6"/>
        <v>8.9281968292322791</v>
      </c>
      <c r="S80" s="2">
        <f t="shared" si="7"/>
        <v>-2.7487640256040891E-4</v>
      </c>
    </row>
    <row r="81" spans="12:19" x14ac:dyDescent="0.2">
      <c r="L81" s="8">
        <v>80</v>
      </c>
      <c r="M81">
        <v>288.14999999999998</v>
      </c>
      <c r="N81">
        <v>15</v>
      </c>
      <c r="O81" s="2">
        <v>8.8682498910162124</v>
      </c>
      <c r="P81" s="2">
        <f t="shared" si="4"/>
        <v>8.8685987748921118</v>
      </c>
      <c r="Q81" s="2">
        <f t="shared" si="5"/>
        <v>-3.4888387589937508E-4</v>
      </c>
      <c r="R81" s="2">
        <f t="shared" si="6"/>
        <v>8.8683000043589786</v>
      </c>
      <c r="S81" s="2">
        <f t="shared" si="7"/>
        <v>-5.0113342766167079E-5</v>
      </c>
    </row>
    <row r="82" spans="12:19" x14ac:dyDescent="0.2">
      <c r="L82" s="8">
        <v>81</v>
      </c>
      <c r="M82">
        <v>293.14999999999998</v>
      </c>
      <c r="N82">
        <v>15</v>
      </c>
      <c r="O82" s="2">
        <v>8.8115310316796478</v>
      </c>
      <c r="P82" s="2">
        <f t="shared" si="4"/>
        <v>8.8114848944678865</v>
      </c>
      <c r="Q82" s="2">
        <f t="shared" si="5"/>
        <v>4.6137211761276831E-5</v>
      </c>
      <c r="R82" s="2">
        <f t="shared" si="6"/>
        <v>8.8111817072843106</v>
      </c>
      <c r="S82" s="2">
        <f t="shared" si="7"/>
        <v>3.4932439533719162E-4</v>
      </c>
    </row>
    <row r="83" spans="12:19" x14ac:dyDescent="0.2">
      <c r="L83" s="8">
        <v>82</v>
      </c>
      <c r="M83">
        <v>298.14999999999998</v>
      </c>
      <c r="N83">
        <v>15</v>
      </c>
      <c r="O83" s="2">
        <v>8.7573310803381208</v>
      </c>
      <c r="P83" s="2">
        <f t="shared" si="4"/>
        <v>8.7569541069084433</v>
      </c>
      <c r="Q83" s="2">
        <f t="shared" si="5"/>
        <v>3.7697342967746295E-4</v>
      </c>
      <c r="R83" s="2">
        <f t="shared" si="6"/>
        <v>8.7566465021400202</v>
      </c>
      <c r="S83" s="2">
        <f t="shared" si="7"/>
        <v>6.8457819810063825E-4</v>
      </c>
    </row>
    <row r="84" spans="12:19" x14ac:dyDescent="0.2">
      <c r="L84" s="8">
        <v>83</v>
      </c>
      <c r="M84">
        <v>303.14999999999998</v>
      </c>
      <c r="N84">
        <v>15</v>
      </c>
      <c r="O84" s="2">
        <v>8.7052591719579215</v>
      </c>
      <c r="P84" s="2">
        <f t="shared" si="4"/>
        <v>8.7048257058823104</v>
      </c>
      <c r="Q84" s="2">
        <f t="shared" si="5"/>
        <v>4.3346607561112194E-4</v>
      </c>
      <c r="R84" s="2">
        <f t="shared" si="6"/>
        <v>8.7045136826355769</v>
      </c>
      <c r="S84" s="2">
        <f t="shared" si="7"/>
        <v>7.4548932234463905E-4</v>
      </c>
    </row>
    <row r="85" spans="12:19" x14ac:dyDescent="0.2">
      <c r="L85" s="8">
        <v>84</v>
      </c>
      <c r="M85">
        <v>308.14999999999998</v>
      </c>
      <c r="N85">
        <v>15</v>
      </c>
      <c r="O85" s="2">
        <v>8.6547507237125743</v>
      </c>
      <c r="P85" s="2">
        <f t="shared" si="4"/>
        <v>8.6549324302536341</v>
      </c>
      <c r="Q85" s="2">
        <f t="shared" si="5"/>
        <v>-1.8170654105986728E-4</v>
      </c>
      <c r="R85" s="2">
        <f t="shared" si="6"/>
        <v>8.6546159876735036</v>
      </c>
      <c r="S85" s="2">
        <f t="shared" si="7"/>
        <v>1.3473603907065979E-4</v>
      </c>
    </row>
    <row r="86" spans="12:19" x14ac:dyDescent="0.2">
      <c r="L86" s="8">
        <v>85</v>
      </c>
      <c r="M86">
        <v>313.14999999999998</v>
      </c>
      <c r="N86">
        <v>15</v>
      </c>
      <c r="O86" s="2">
        <v>8.6058925944984566</v>
      </c>
      <c r="P86" s="2">
        <f t="shared" si="4"/>
        <v>8.6071193084523134</v>
      </c>
      <c r="Q86" s="2">
        <f t="shared" si="5"/>
        <v>-1.2267139538568728E-3</v>
      </c>
      <c r="R86" s="2">
        <f t="shared" si="6"/>
        <v>8.6067984457198516</v>
      </c>
      <c r="S86" s="2">
        <f t="shared" si="7"/>
        <v>-9.0585122139508201E-4</v>
      </c>
    </row>
    <row r="87" spans="12:19" x14ac:dyDescent="0.2">
      <c r="L87" s="8">
        <v>86</v>
      </c>
      <c r="M87">
        <v>318.14999999999998</v>
      </c>
      <c r="N87">
        <v>15</v>
      </c>
      <c r="O87" s="2">
        <v>8.5579899131445298</v>
      </c>
      <c r="P87" s="2">
        <f t="shared" si="4"/>
        <v>8.5612426169859077</v>
      </c>
      <c r="Q87" s="2">
        <f t="shared" si="5"/>
        <v>-3.2527038413778797E-3</v>
      </c>
      <c r="R87" s="2">
        <f t="shared" si="6"/>
        <v>8.5609173333161905</v>
      </c>
      <c r="S87" s="2">
        <f t="shared" si="7"/>
        <v>-2.9274201716606996E-3</v>
      </c>
    </row>
    <row r="88" spans="12:19" x14ac:dyDescent="0.2">
      <c r="L88" s="8">
        <v>87</v>
      </c>
      <c r="M88">
        <v>273.14999999999998</v>
      </c>
      <c r="N88">
        <v>25</v>
      </c>
      <c r="O88" s="2">
        <v>8.9755640574945055</v>
      </c>
      <c r="P88" s="2">
        <f t="shared" si="4"/>
        <v>8.9714726867813663</v>
      </c>
      <c r="Q88" s="2">
        <f t="shared" si="5"/>
        <v>4.0913707131391419E-3</v>
      </c>
      <c r="R88" s="2">
        <f t="shared" si="6"/>
        <v>8.971115474201202</v>
      </c>
      <c r="S88" s="2">
        <f t="shared" si="7"/>
        <v>4.448583293303443E-3</v>
      </c>
    </row>
    <row r="89" spans="12:19" x14ac:dyDescent="0.2">
      <c r="L89" s="8">
        <v>88</v>
      </c>
      <c r="M89">
        <v>278.14999999999998</v>
      </c>
      <c r="N89">
        <v>25</v>
      </c>
      <c r="O89" s="2">
        <v>8.9075969710766447</v>
      </c>
      <c r="P89" s="2">
        <f t="shared" si="4"/>
        <v>8.9050434411080648</v>
      </c>
      <c r="Q89" s="2">
        <f t="shared" si="5"/>
        <v>2.5535299685799373E-3</v>
      </c>
      <c r="R89" s="2">
        <f t="shared" si="6"/>
        <v>8.9046804976565088</v>
      </c>
      <c r="S89" s="2">
        <f t="shared" si="7"/>
        <v>2.9164734201359011E-3</v>
      </c>
    </row>
    <row r="90" spans="12:19" x14ac:dyDescent="0.2">
      <c r="L90" s="8">
        <v>89</v>
      </c>
      <c r="M90">
        <v>283.14999999999998</v>
      </c>
      <c r="N90">
        <v>25</v>
      </c>
      <c r="O90" s="2">
        <v>8.842930522721252</v>
      </c>
      <c r="P90" s="2">
        <f t="shared" si="4"/>
        <v>8.841194433924171</v>
      </c>
      <c r="Q90" s="2">
        <f t="shared" si="5"/>
        <v>1.7360887970809813E-3</v>
      </c>
      <c r="R90" s="2">
        <f t="shared" si="6"/>
        <v>8.8408257585794363</v>
      </c>
      <c r="S90" s="2">
        <f t="shared" si="7"/>
        <v>2.104764141815707E-3</v>
      </c>
    </row>
    <row r="91" spans="12:19" x14ac:dyDescent="0.2">
      <c r="L91" s="8">
        <v>90</v>
      </c>
      <c r="M91">
        <v>288.14999999999998</v>
      </c>
      <c r="N91">
        <v>25</v>
      </c>
      <c r="O91" s="2">
        <v>8.7819555774620355</v>
      </c>
      <c r="P91" s="2">
        <f t="shared" si="4"/>
        <v>8.779727702099855</v>
      </c>
      <c r="Q91" s="2">
        <f t="shared" si="5"/>
        <v>2.2278753621804981E-3</v>
      </c>
      <c r="R91" s="2">
        <f t="shared" si="6"/>
        <v>8.7793532938870769</v>
      </c>
      <c r="S91" s="2">
        <f t="shared" si="7"/>
        <v>2.6022835749586193E-3</v>
      </c>
    </row>
    <row r="92" spans="12:19" x14ac:dyDescent="0.2">
      <c r="L92" s="8">
        <v>91</v>
      </c>
      <c r="M92">
        <v>293.14999999999998</v>
      </c>
      <c r="N92">
        <v>25</v>
      </c>
      <c r="O92" s="2">
        <v>8.7231955340605261</v>
      </c>
      <c r="P92" s="2">
        <f t="shared" si="4"/>
        <v>8.72046095986091</v>
      </c>
      <c r="Q92" s="2">
        <f t="shared" si="5"/>
        <v>2.7345741996160911E-3</v>
      </c>
      <c r="R92" s="2">
        <f t="shared" si="6"/>
        <v>8.7200808178491922</v>
      </c>
      <c r="S92" s="2">
        <f t="shared" si="7"/>
        <v>3.1147162113338567E-3</v>
      </c>
    </row>
    <row r="93" spans="12:19" x14ac:dyDescent="0.2">
      <c r="L93" s="8">
        <v>92</v>
      </c>
      <c r="M93">
        <v>298.14999999999998</v>
      </c>
      <c r="N93">
        <v>25</v>
      </c>
      <c r="O93" s="2">
        <v>8.6665635336203408</v>
      </c>
      <c r="P93" s="2">
        <f t="shared" si="4"/>
        <v>8.6632261749692319</v>
      </c>
      <c r="Q93" s="2">
        <f t="shared" si="5"/>
        <v>3.337358651108957E-3</v>
      </c>
      <c r="R93" s="2">
        <f t="shared" si="6"/>
        <v>8.662840298268863</v>
      </c>
      <c r="S93" s="2">
        <f t="shared" si="7"/>
        <v>3.7232353514777827E-3</v>
      </c>
    </row>
    <row r="94" spans="12:19" x14ac:dyDescent="0.2">
      <c r="L94" s="8">
        <v>93</v>
      </c>
      <c r="M94">
        <v>303.14999999999998</v>
      </c>
      <c r="N94">
        <v>25</v>
      </c>
      <c r="O94" s="2">
        <v>8.6112344166258676</v>
      </c>
      <c r="P94" s="2">
        <f t="shared" si="4"/>
        <v>8.6078682930161587</v>
      </c>
      <c r="Q94" s="2">
        <f t="shared" si="5"/>
        <v>3.3661236097088931E-3</v>
      </c>
      <c r="R94" s="2">
        <f t="shared" si="6"/>
        <v>8.6074766807761396</v>
      </c>
      <c r="S94" s="2">
        <f t="shared" si="7"/>
        <v>3.75773584972805E-3</v>
      </c>
    </row>
    <row r="95" spans="12:19" x14ac:dyDescent="0.2">
      <c r="L95" s="8">
        <v>94</v>
      </c>
      <c r="M95">
        <v>308.14999999999998</v>
      </c>
      <c r="N95">
        <v>25</v>
      </c>
      <c r="O95" s="2">
        <v>8.5572516125252918</v>
      </c>
      <c r="P95" s="2">
        <f t="shared" si="4"/>
        <v>8.5542440924210634</v>
      </c>
      <c r="Q95" s="2">
        <f t="shared" si="5"/>
        <v>3.0075201042283339E-3</v>
      </c>
      <c r="R95" s="2">
        <f t="shared" si="6"/>
        <v>8.5538467438266821</v>
      </c>
      <c r="S95" s="2">
        <f t="shared" si="7"/>
        <v>3.4048686986096754E-3</v>
      </c>
    </row>
    <row r="96" spans="12:19" x14ac:dyDescent="0.2">
      <c r="L96" s="8">
        <v>95</v>
      </c>
      <c r="M96">
        <v>313.14999999999998</v>
      </c>
      <c r="N96">
        <v>25</v>
      </c>
      <c r="O96" s="2">
        <v>8.5040939679403351</v>
      </c>
      <c r="P96" s="2">
        <f t="shared" si="4"/>
        <v>8.5022211550063869</v>
      </c>
      <c r="Q96" s="2">
        <f t="shared" si="5"/>
        <v>1.8728129339482535E-3</v>
      </c>
      <c r="R96" s="2">
        <f t="shared" si="6"/>
        <v>8.5018180692771175</v>
      </c>
      <c r="S96" s="2">
        <f t="shared" si="7"/>
        <v>2.2758986632176459E-3</v>
      </c>
    </row>
    <row r="97" spans="12:19" x14ac:dyDescent="0.2">
      <c r="L97" s="8">
        <v>96</v>
      </c>
      <c r="M97">
        <v>318.14999999999998</v>
      </c>
      <c r="N97">
        <v>25</v>
      </c>
      <c r="O97" s="2">
        <v>8.4514140472854695</v>
      </c>
      <c r="P97" s="2">
        <f t="shared" si="4"/>
        <v>8.4516769389722857</v>
      </c>
      <c r="Q97" s="2">
        <f t="shared" si="5"/>
        <v>-2.6289168681614683E-4</v>
      </c>
      <c r="R97" s="2">
        <f t="shared" si="6"/>
        <v>8.451268115359813</v>
      </c>
      <c r="S97" s="2">
        <f t="shared" si="7"/>
        <v>1.4593192565648394E-4</v>
      </c>
    </row>
    <row r="98" spans="12:19" x14ac:dyDescent="0.2">
      <c r="L98" s="8">
        <v>97</v>
      </c>
      <c r="M98">
        <v>273.14999999999998</v>
      </c>
      <c r="N98">
        <v>35</v>
      </c>
      <c r="O98" s="2">
        <v>8.9108107502427316</v>
      </c>
      <c r="P98" s="2">
        <f t="shared" si="4"/>
        <v>8.9117071626914601</v>
      </c>
      <c r="Q98" s="2">
        <f t="shared" si="5"/>
        <v>-8.9641244872851189E-4</v>
      </c>
      <c r="R98" s="2">
        <f t="shared" si="6"/>
        <v>8.9112913019404321</v>
      </c>
      <c r="S98" s="2">
        <f t="shared" si="7"/>
        <v>-4.805516977004487E-4</v>
      </c>
    </row>
    <row r="99" spans="12:19" x14ac:dyDescent="0.2">
      <c r="L99" s="8">
        <v>98</v>
      </c>
      <c r="M99">
        <v>278.14999999999998</v>
      </c>
      <c r="N99">
        <v>35</v>
      </c>
      <c r="O99" s="2">
        <v>8.8418013570683041</v>
      </c>
      <c r="P99" s="2">
        <f t="shared" si="4"/>
        <v>8.8451844038745406</v>
      </c>
      <c r="Q99" s="2">
        <f t="shared" si="5"/>
        <v>-3.3830468062365782E-3</v>
      </c>
      <c r="R99" s="2">
        <f t="shared" si="6"/>
        <v>8.8447617349543588</v>
      </c>
      <c r="S99" s="2">
        <f t="shared" si="7"/>
        <v>-2.9603778860547436E-3</v>
      </c>
    </row>
    <row r="100" spans="12:19" x14ac:dyDescent="0.2">
      <c r="L100" s="8">
        <v>99</v>
      </c>
      <c r="M100">
        <v>283.14999999999998</v>
      </c>
      <c r="N100">
        <v>35</v>
      </c>
      <c r="O100" s="2">
        <v>8.7766571847828168</v>
      </c>
      <c r="P100" s="2">
        <f t="shared" si="4"/>
        <v>8.7807222900409965</v>
      </c>
      <c r="Q100" s="2">
        <f t="shared" si="5"/>
        <v>-4.0651052581797131E-3</v>
      </c>
      <c r="R100" s="2">
        <f t="shared" si="6"/>
        <v>8.780292811972469</v>
      </c>
      <c r="S100" s="2">
        <f t="shared" si="7"/>
        <v>-3.6356271896522685E-3</v>
      </c>
    </row>
    <row r="101" spans="12:19" x14ac:dyDescent="0.2">
      <c r="L101" s="8">
        <v>100</v>
      </c>
      <c r="M101">
        <v>288.14999999999998</v>
      </c>
      <c r="N101">
        <v>35</v>
      </c>
      <c r="O101" s="2">
        <v>8.713814773251416</v>
      </c>
      <c r="P101" s="2">
        <f t="shared" si="4"/>
        <v>8.7181483701249132</v>
      </c>
      <c r="Q101" s="2">
        <f t="shared" si="5"/>
        <v>-4.3335968734972141E-3</v>
      </c>
      <c r="R101" s="2">
        <f t="shared" si="6"/>
        <v>8.7177120819735343</v>
      </c>
      <c r="S101" s="2">
        <f t="shared" si="7"/>
        <v>-3.8973087221183533E-3</v>
      </c>
    </row>
    <row r="102" spans="12:19" x14ac:dyDescent="0.2">
      <c r="L102" s="8">
        <v>101</v>
      </c>
      <c r="M102">
        <v>293.14999999999998</v>
      </c>
      <c r="N102">
        <v>35</v>
      </c>
      <c r="O102" s="2">
        <v>8.6538387053005774</v>
      </c>
      <c r="P102" s="2">
        <f t="shared" si="4"/>
        <v>8.6573041822740002</v>
      </c>
      <c r="Q102" s="2">
        <f t="shared" si="5"/>
        <v>-3.4654769734228097E-3</v>
      </c>
      <c r="R102" s="2">
        <f t="shared" si="6"/>
        <v>8.6568610831471364</v>
      </c>
      <c r="S102" s="2">
        <f t="shared" si="7"/>
        <v>-3.0223778465590101E-3</v>
      </c>
    </row>
    <row r="103" spans="12:19" x14ac:dyDescent="0.2">
      <c r="L103" s="8">
        <v>102</v>
      </c>
      <c r="M103">
        <v>298.14999999999998</v>
      </c>
      <c r="N103">
        <v>35</v>
      </c>
      <c r="O103" s="2">
        <v>8.5949483735544963</v>
      </c>
      <c r="P103" s="2">
        <f t="shared" si="4"/>
        <v>8.5980439689444985</v>
      </c>
      <c r="Q103" s="2">
        <f t="shared" si="5"/>
        <v>-3.0955953900022593E-3</v>
      </c>
      <c r="R103" s="2">
        <f t="shared" si="6"/>
        <v>8.5975940579887844</v>
      </c>
      <c r="S103" s="2">
        <f t="shared" si="7"/>
        <v>-2.6456844342881425E-3</v>
      </c>
    </row>
    <row r="104" spans="12:19" x14ac:dyDescent="0.2">
      <c r="L104" s="8">
        <v>103</v>
      </c>
      <c r="M104">
        <v>303.14999999999998</v>
      </c>
      <c r="N104">
        <v>35</v>
      </c>
      <c r="O104" s="2">
        <v>8.5373174958059348</v>
      </c>
      <c r="P104" s="2">
        <f t="shared" si="4"/>
        <v>8.5402335265357898</v>
      </c>
      <c r="Q104" s="2">
        <f t="shared" si="5"/>
        <v>-2.9160307298550237E-3</v>
      </c>
      <c r="R104" s="2">
        <f t="shared" si="6"/>
        <v>8.5397768029347265</v>
      </c>
      <c r="S104" s="2">
        <f t="shared" si="7"/>
        <v>-2.4593071287917212E-3</v>
      </c>
    </row>
    <row r="105" spans="12:19" x14ac:dyDescent="0.2">
      <c r="L105" s="8">
        <v>104</v>
      </c>
      <c r="M105">
        <v>308.14999999999998</v>
      </c>
      <c r="N105">
        <v>35</v>
      </c>
      <c r="O105" s="2">
        <v>8.4804249186766079</v>
      </c>
      <c r="P105" s="2">
        <f t="shared" si="4"/>
        <v>8.4837491736847142</v>
      </c>
      <c r="Q105" s="2">
        <f t="shared" si="5"/>
        <v>-3.3242550081062916E-3</v>
      </c>
      <c r="R105" s="2">
        <f t="shared" si="6"/>
        <v>8.4832856366564098</v>
      </c>
      <c r="S105" s="2">
        <f t="shared" si="7"/>
        <v>-2.8607179798019189E-3</v>
      </c>
    </row>
    <row r="106" spans="12:19" x14ac:dyDescent="0.2">
      <c r="L106" s="8">
        <v>105</v>
      </c>
      <c r="M106">
        <v>313.14999999999998</v>
      </c>
      <c r="N106">
        <v>35</v>
      </c>
      <c r="O106" s="2">
        <v>8.4243575010628984</v>
      </c>
      <c r="P106" s="2">
        <f t="shared" si="4"/>
        <v>8.4284768244245978</v>
      </c>
      <c r="Q106" s="2">
        <f t="shared" si="5"/>
        <v>-4.1193233616994007E-3</v>
      </c>
      <c r="R106" s="2">
        <f t="shared" si="6"/>
        <v>8.4280064732197584</v>
      </c>
      <c r="S106" s="2">
        <f t="shared" si="7"/>
        <v>-3.6489721568599975E-3</v>
      </c>
    </row>
    <row r="107" spans="12:19" x14ac:dyDescent="0.2">
      <c r="L107" s="8">
        <v>106</v>
      </c>
      <c r="M107">
        <v>318.14999999999998</v>
      </c>
      <c r="N107">
        <v>35</v>
      </c>
      <c r="O107" s="2">
        <v>8.3684638012419512</v>
      </c>
      <c r="P107" s="2">
        <f>$B$13+$B$14*1/M107+$B$15*N107^0.5/M107+$B$16*(N107^0.5/(1+N107^0.5))+$B$17*LN(M107)+$B$18*N107^0.5*LN(M107)+$B$19*N107^0.5*M107+$B$20*N107*M107</f>
        <v>8.3743111541992921</v>
      </c>
      <c r="Q107" s="2">
        <f t="shared" si="5"/>
        <v>-5.8473529573408456E-3</v>
      </c>
      <c r="R107" s="2">
        <f t="shared" si="6"/>
        <v>8.3738339880993227</v>
      </c>
      <c r="S107" s="2">
        <f t="shared" si="7"/>
        <v>-5.3701868573714506E-3</v>
      </c>
    </row>
    <row r="108" spans="12:19" x14ac:dyDescent="0.2">
      <c r="L108" s="8">
        <v>107</v>
      </c>
      <c r="M108">
        <v>273.14999999999998</v>
      </c>
      <c r="N108">
        <v>45</v>
      </c>
      <c r="O108" s="2">
        <v>8.869856780599255</v>
      </c>
      <c r="P108" s="2">
        <f t="shared" si="4"/>
        <v>8.8671689117648107</v>
      </c>
      <c r="Q108" s="2">
        <f t="shared" si="5"/>
        <v>2.6878688344442736E-3</v>
      </c>
      <c r="R108" s="2">
        <f t="shared" si="6"/>
        <v>8.8667020700877686</v>
      </c>
      <c r="S108" s="2">
        <f t="shared" si="7"/>
        <v>3.1547105114864138E-3</v>
      </c>
    </row>
    <row r="109" spans="12:19" x14ac:dyDescent="0.2">
      <c r="L109" s="8">
        <v>108</v>
      </c>
      <c r="M109">
        <v>278.14999999999998</v>
      </c>
      <c r="N109">
        <v>45</v>
      </c>
      <c r="O109" s="2">
        <v>8.8010645346657785</v>
      </c>
      <c r="P109" s="2">
        <f t="shared" si="4"/>
        <v>8.8006899869417161</v>
      </c>
      <c r="Q109" s="2">
        <f t="shared" si="5"/>
        <v>3.7454772406242398E-4</v>
      </c>
      <c r="R109" s="2">
        <f t="shared" si="6"/>
        <v>8.8002154008320748</v>
      </c>
      <c r="S109" s="2">
        <f t="shared" si="7"/>
        <v>8.491338337037746E-4</v>
      </c>
    </row>
    <row r="110" spans="12:19" x14ac:dyDescent="0.2">
      <c r="L110" s="8">
        <v>109</v>
      </c>
      <c r="M110">
        <v>283.14999999999998</v>
      </c>
      <c r="N110">
        <v>45</v>
      </c>
      <c r="O110" s="2">
        <v>8.7351820617610567</v>
      </c>
      <c r="P110" s="2">
        <f t="shared" si="4"/>
        <v>8.7358224202914041</v>
      </c>
      <c r="Q110" s="2">
        <f t="shared" si="5"/>
        <v>-6.4035853034738466E-4</v>
      </c>
      <c r="R110" s="2">
        <f t="shared" si="6"/>
        <v>8.7353400888067991</v>
      </c>
      <c r="S110" s="2">
        <f t="shared" si="7"/>
        <v>-1.5802704574241488E-4</v>
      </c>
    </row>
    <row r="111" spans="12:19" x14ac:dyDescent="0.2">
      <c r="L111" s="8">
        <v>110</v>
      </c>
      <c r="M111">
        <v>288.14999999999998</v>
      </c>
      <c r="N111">
        <v>45</v>
      </c>
      <c r="O111" s="2">
        <v>8.6712973434730873</v>
      </c>
      <c r="P111" s="2">
        <f t="shared" si="4"/>
        <v>8.6724158207500288</v>
      </c>
      <c r="Q111" s="2">
        <f t="shared" si="5"/>
        <v>-1.1184772769414764E-3</v>
      </c>
      <c r="R111" s="2">
        <f t="shared" si="6"/>
        <v>8.6719257429908456</v>
      </c>
      <c r="S111" s="2">
        <f t="shared" si="7"/>
        <v>-6.283995177582824E-4</v>
      </c>
    </row>
    <row r="112" spans="12:19" x14ac:dyDescent="0.2">
      <c r="L112" s="8">
        <v>111</v>
      </c>
      <c r="M112">
        <v>293.14999999999998</v>
      </c>
      <c r="N112">
        <v>45</v>
      </c>
      <c r="O112" s="2">
        <v>8.6100183920765385</v>
      </c>
      <c r="P112" s="2">
        <f t="shared" si="4"/>
        <v>8.610332326749532</v>
      </c>
      <c r="Q112" s="2">
        <f t="shared" si="5"/>
        <v>-3.1393467299345446E-4</v>
      </c>
      <c r="R112" s="2">
        <f t="shared" si="6"/>
        <v>8.6098345018562394</v>
      </c>
      <c r="S112" s="2">
        <f t="shared" si="7"/>
        <v>1.8389022029907665E-4</v>
      </c>
    </row>
    <row r="113" spans="12:19" x14ac:dyDescent="0.2">
      <c r="L113" s="8">
        <v>112</v>
      </c>
      <c r="M113">
        <v>298.14999999999998</v>
      </c>
      <c r="N113">
        <v>45</v>
      </c>
      <c r="O113" s="2">
        <v>8.5497383179883677</v>
      </c>
      <c r="P113" s="2">
        <f t="shared" si="4"/>
        <v>8.5494454414302492</v>
      </c>
      <c r="Q113" s="2">
        <f t="shared" si="5"/>
        <v>2.9287655811849334E-4</v>
      </c>
      <c r="R113" s="2">
        <f t="shared" si="6"/>
        <v>8.5489398685808808</v>
      </c>
      <c r="S113" s="2">
        <f t="shared" si="7"/>
        <v>7.9844940748685644E-4</v>
      </c>
    </row>
    <row r="114" spans="12:19" x14ac:dyDescent="0.2">
      <c r="L114" s="8">
        <v>113</v>
      </c>
      <c r="M114">
        <v>303.14999999999998</v>
      </c>
      <c r="N114">
        <v>45</v>
      </c>
      <c r="O114" s="2">
        <v>8.4905439801049543</v>
      </c>
      <c r="P114" s="2">
        <f t="shared" si="4"/>
        <v>8.489638990656772</v>
      </c>
      <c r="Q114" s="2">
        <f t="shared" si="5"/>
        <v>9.0498944818229177E-4</v>
      </c>
      <c r="R114" s="2">
        <f t="shared" si="6"/>
        <v>8.4891256690646664</v>
      </c>
      <c r="S114" s="2">
        <f t="shared" si="7"/>
        <v>1.4183110402878896E-3</v>
      </c>
    </row>
    <row r="115" spans="12:19" x14ac:dyDescent="0.2">
      <c r="L115" s="8">
        <v>114</v>
      </c>
      <c r="M115">
        <v>308.14999999999998</v>
      </c>
      <c r="N115">
        <v>45</v>
      </c>
      <c r="O115" s="2">
        <v>8.4315233600143031</v>
      </c>
      <c r="P115" s="2">
        <f t="shared" si="4"/>
        <v>8.4308061892778348</v>
      </c>
      <c r="Q115" s="2">
        <f t="shared" si="5"/>
        <v>7.1717073646837548E-4</v>
      </c>
      <c r="R115" s="2">
        <f t="shared" si="6"/>
        <v>8.4302851181894951</v>
      </c>
      <c r="S115" s="2">
        <f t="shared" si="7"/>
        <v>1.2382418248080285E-3</v>
      </c>
    </row>
    <row r="116" spans="12:19" x14ac:dyDescent="0.2">
      <c r="L116" s="8">
        <v>115</v>
      </c>
      <c r="M116">
        <v>313.14999999999998</v>
      </c>
      <c r="N116">
        <v>45</v>
      </c>
      <c r="O116" s="2">
        <v>8.3733278994392659</v>
      </c>
      <c r="P116" s="2">
        <f t="shared" si="4"/>
        <v>8.3728488029886368</v>
      </c>
      <c r="Q116" s="2">
        <f t="shared" si="5"/>
        <v>4.7909645062915729E-4</v>
      </c>
      <c r="R116" s="2">
        <f t="shared" si="6"/>
        <v>8.3723199816817697</v>
      </c>
      <c r="S116" s="2">
        <f t="shared" si="7"/>
        <v>1.0079177574962017E-3</v>
      </c>
    </row>
    <row r="117" spans="12:19" x14ac:dyDescent="0.2">
      <c r="L117" s="8">
        <v>116</v>
      </c>
      <c r="M117">
        <v>318.14999999999998</v>
      </c>
      <c r="N117">
        <v>45</v>
      </c>
      <c r="O117" s="2">
        <v>8.3150890094160399</v>
      </c>
      <c r="P117" s="2">
        <f t="shared" si="4"/>
        <v>8.3156763947949575</v>
      </c>
      <c r="Q117" s="2">
        <f t="shared" si="5"/>
        <v>-5.8738537891755982E-4</v>
      </c>
      <c r="R117" s="2">
        <f t="shared" si="6"/>
        <v>8.3151398225766808</v>
      </c>
      <c r="S117" s="2">
        <f t="shared" si="7"/>
        <v>-5.081316064092789E-5</v>
      </c>
    </row>
  </sheetData>
  <conditionalFormatting sqref="Q1">
    <cfRule type="top10" dxfId="36" priority="7" bottom="1" rank="3"/>
    <cfRule type="top10" dxfId="35" priority="8" rank="3"/>
  </conditionalFormatting>
  <conditionalFormatting sqref="Q1:Q1048576">
    <cfRule type="top10" dxfId="34" priority="5" bottom="1" rank="3"/>
    <cfRule type="top10" dxfId="33" priority="6" rank="3"/>
  </conditionalFormatting>
  <conditionalFormatting sqref="S1">
    <cfRule type="top10" dxfId="32" priority="3" bottom="1" rank="3"/>
    <cfRule type="top10" dxfId="31" priority="4" rank="3"/>
  </conditionalFormatting>
  <conditionalFormatting sqref="S1:S1048576">
    <cfRule type="top10" dxfId="30" priority="1" bottom="1" rank="3"/>
    <cfRule type="top10" dxfId="29" priority="2" rank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7C4A2-4BE3-6148-90B9-25724B6787D8}">
  <dimension ref="A1:U117"/>
  <sheetViews>
    <sheetView workbookViewId="0">
      <selection activeCell="S57" sqref="S57"/>
    </sheetView>
  </sheetViews>
  <sheetFormatPr baseColWidth="10" defaultColWidth="11.5" defaultRowHeight="15" x14ac:dyDescent="0.2"/>
  <cols>
    <col min="15" max="17" width="14.1640625" customWidth="1"/>
    <col min="19" max="19" width="14.1640625" customWidth="1"/>
    <col min="21" max="21" width="14.1640625" customWidth="1"/>
  </cols>
  <sheetData>
    <row r="1" spans="1:21" ht="16" x14ac:dyDescent="0.2">
      <c r="J1" s="18" t="s">
        <v>47</v>
      </c>
      <c r="K1" s="18" t="s">
        <v>3</v>
      </c>
      <c r="L1" s="18" t="s">
        <v>4</v>
      </c>
      <c r="M1" s="7" t="s">
        <v>8</v>
      </c>
      <c r="N1" s="18" t="s">
        <v>58</v>
      </c>
      <c r="O1" s="18" t="s">
        <v>59</v>
      </c>
      <c r="P1" s="18" t="s">
        <v>58</v>
      </c>
      <c r="Q1" s="18" t="s">
        <v>59</v>
      </c>
      <c r="R1" s="18" t="s">
        <v>61</v>
      </c>
      <c r="S1" s="18" t="s">
        <v>49</v>
      </c>
      <c r="U1" s="18"/>
    </row>
    <row r="2" spans="1:21" x14ac:dyDescent="0.2">
      <c r="A2" t="s">
        <v>51</v>
      </c>
      <c r="J2" s="8">
        <v>1</v>
      </c>
      <c r="K2">
        <v>275.14999999999998</v>
      </c>
      <c r="L2">
        <v>0</v>
      </c>
      <c r="M2" s="2">
        <v>9.4763443037501052</v>
      </c>
      <c r="N2" s="2">
        <f>$B$12+$B$13*1/K2+$B$14*L2^0.5/K2+$B$15*(L2^0.5/(1+L2^0.5))+$B$16*LN(K2)+$B$17*L2^0.5*LN(K2)+$B$18*L2^0.5*K2+$B$19*L2*K2</f>
        <v>9.4759218083653209</v>
      </c>
      <c r="O2" s="2">
        <f>M2-N2</f>
        <v>4.2249538478422721E-4</v>
      </c>
      <c r="P2" s="2">
        <f>-60.77408+(3740.7185/K2)+(-207.8923*L2^(1/2)/K2)+(-0.0781334*L2^(1/2)/(1+L2^(1/2)))+(10.08574*LN(K2))+(0.313662*L2^(1/2)*LN(K2))+(-0.004088*L2^(1/2)*K2)+(0.000018292*L2*K2)</f>
        <v>9.4759099086768899</v>
      </c>
      <c r="Q2" s="2">
        <f>M2-P2</f>
        <v>4.3439507321529902E-4</v>
      </c>
      <c r="R2" s="2">
        <f>-60.3854+(3723.861/K2)+(-203.2558*L2^(1/2)/K2)+(-0.07809*L2^(1/2)/(1+L2^(1/2)))+(10.027448*LN(K2))+(0.306786*L2^(1/2)*LN(K2))+(-0.004009*L2^(1/2)*K2)+(0.000018283*L2*K2)</f>
        <v>9.475878719019299</v>
      </c>
      <c r="S2" s="2">
        <f>M2-R2</f>
        <v>4.655847308061567E-4</v>
      </c>
      <c r="U2" s="2"/>
    </row>
    <row r="3" spans="1:21" x14ac:dyDescent="0.2">
      <c r="A3" t="s">
        <v>50</v>
      </c>
      <c r="J3" s="8">
        <v>2</v>
      </c>
      <c r="K3">
        <v>283.14999999999998</v>
      </c>
      <c r="L3">
        <v>0</v>
      </c>
      <c r="M3" s="2">
        <v>9.3805996831057872</v>
      </c>
      <c r="N3" s="2">
        <f t="shared" ref="N3:N66" si="0">$B$12+$B$13*1/K3+$B$14*L3^0.5/K3+$B$15*(L3^0.5/(1+L3^0.5))+$B$16*LN(K3)+$B$17*L3^0.5*LN(K3)+$B$18*L3^0.5*K3+$B$19*L3*K3</f>
        <v>9.3808701686393121</v>
      </c>
      <c r="O3" s="2">
        <f t="shared" ref="O3:O66" si="1">M3-N3</f>
        <v>-2.7048553352493343E-4</v>
      </c>
      <c r="P3" s="2">
        <f t="shared" ref="P3:P66" si="2">-60.77408+(3740.7185/K3)+(-207.8923*L3^(1/2)/K3)+(-0.0781334*L3^(1/2)/(1+L3^(1/2)))+(10.08574*LN(K3))+(0.313662*L3^(1/2)*LN(K3))+(-0.004088*L3^(1/2)*K3)+(0.000018292*L3*K3)</f>
        <v>9.380858206765204</v>
      </c>
      <c r="Q3" s="2">
        <f t="shared" ref="Q3:Q66" si="3">M3-P3</f>
        <v>-2.5852365941680944E-4</v>
      </c>
      <c r="R3" s="2">
        <f t="shared" ref="R3:R66" si="4">-60.3854+(3723.861/K3)+(-203.2558*L3^(1/2)/K3)+(-0.07809*L3^(1/2)/(1+L3^(1/2)))+(10.027448*LN(K3))+(0.306786*L3^(1/2)*LN(K3))+(-0.004009*L3^(1/2)*K3)+(0.000018283*L3*K3)</f>
        <v>9.3808873457262365</v>
      </c>
      <c r="S3" s="2">
        <f t="shared" ref="S3:S66" si="5">M3-R3</f>
        <v>-2.8766262044932489E-4</v>
      </c>
      <c r="U3" s="2"/>
    </row>
    <row r="4" spans="1:21" x14ac:dyDescent="0.2">
      <c r="A4" t="s">
        <v>52</v>
      </c>
      <c r="J4" s="8">
        <v>3</v>
      </c>
      <c r="K4">
        <v>288.14999999999998</v>
      </c>
      <c r="L4">
        <v>0</v>
      </c>
      <c r="M4" s="2">
        <v>9.327701400560402</v>
      </c>
      <c r="N4" s="2">
        <f t="shared" si="0"/>
        <v>9.3281751802890298</v>
      </c>
      <c r="O4" s="2">
        <f t="shared" si="1"/>
        <v>-4.7377972862783224E-4</v>
      </c>
      <c r="P4" s="2">
        <f t="shared" si="2"/>
        <v>9.3281631804392049</v>
      </c>
      <c r="Q4" s="2">
        <f t="shared" si="3"/>
        <v>-4.6177987880291482E-4</v>
      </c>
      <c r="R4" s="2">
        <f t="shared" si="4"/>
        <v>9.328205019567406</v>
      </c>
      <c r="S4" s="2">
        <f t="shared" si="5"/>
        <v>-5.0361900700401918E-4</v>
      </c>
      <c r="U4" s="2"/>
    </row>
    <row r="5" spans="1:21" x14ac:dyDescent="0.2">
      <c r="J5" s="8">
        <v>4</v>
      </c>
      <c r="K5">
        <v>293.14999999999998</v>
      </c>
      <c r="L5">
        <v>0</v>
      </c>
      <c r="M5" s="2">
        <v>9.279748389054344</v>
      </c>
      <c r="N5" s="2">
        <f t="shared" si="0"/>
        <v>9.2802628509885139</v>
      </c>
      <c r="O5" s="2">
        <f t="shared" si="1"/>
        <v>-5.1446193416992969E-4</v>
      </c>
      <c r="P5" s="2">
        <f t="shared" si="2"/>
        <v>9.2802508138193929</v>
      </c>
      <c r="Q5" s="2">
        <f t="shared" si="3"/>
        <v>-5.0242476504891442E-4</v>
      </c>
      <c r="R5" s="2">
        <f t="shared" si="4"/>
        <v>9.2802876669784453</v>
      </c>
      <c r="S5" s="2">
        <f t="shared" si="5"/>
        <v>-5.3927792410135567E-4</v>
      </c>
      <c r="U5" s="2"/>
    </row>
    <row r="6" spans="1:21" x14ac:dyDescent="0.2">
      <c r="A6" t="s">
        <v>13</v>
      </c>
      <c r="J6" s="8">
        <v>5</v>
      </c>
      <c r="K6">
        <v>298.14999999999998</v>
      </c>
      <c r="L6">
        <v>0</v>
      </c>
      <c r="M6" s="2">
        <v>9.236439174278031</v>
      </c>
      <c r="N6" s="2">
        <f t="shared" si="0"/>
        <v>9.2368424984518427</v>
      </c>
      <c r="O6" s="2">
        <f t="shared" si="1"/>
        <v>-4.0332417381172547E-4</v>
      </c>
      <c r="P6" s="2">
        <f t="shared" si="2"/>
        <v>9.2368304245975423</v>
      </c>
      <c r="Q6" s="2">
        <f t="shared" si="3"/>
        <v>-3.9125031951137146E-4</v>
      </c>
      <c r="R6" s="2">
        <f t="shared" si="4"/>
        <v>9.2368457848059649</v>
      </c>
      <c r="S6" s="2">
        <f t="shared" si="5"/>
        <v>-4.0661052793389274E-4</v>
      </c>
      <c r="U6" s="2"/>
    </row>
    <row r="7" spans="1:21" x14ac:dyDescent="0.2">
      <c r="A7" t="s">
        <v>39</v>
      </c>
      <c r="J7" s="8">
        <v>6</v>
      </c>
      <c r="K7">
        <v>303.14999999999998</v>
      </c>
      <c r="L7">
        <v>0</v>
      </c>
      <c r="M7" s="2">
        <v>9.197493909256881</v>
      </c>
      <c r="N7" s="2">
        <f t="shared" si="0"/>
        <v>9.1976442695952656</v>
      </c>
      <c r="O7" s="2">
        <f t="shared" si="1"/>
        <v>-1.5036033838455864E-4</v>
      </c>
      <c r="P7" s="2">
        <f t="shared" si="2"/>
        <v>9.1976321596687285</v>
      </c>
      <c r="Q7" s="2">
        <f t="shared" si="3"/>
        <v>-1.3825041184745146E-4</v>
      </c>
      <c r="R7" s="2">
        <f t="shared" si="4"/>
        <v>9.1976106117598562</v>
      </c>
      <c r="S7" s="2">
        <f t="shared" si="5"/>
        <v>-1.1670250297513007E-4</v>
      </c>
      <c r="U7" s="2"/>
    </row>
    <row r="8" spans="1:21" x14ac:dyDescent="0.2">
      <c r="A8" t="s">
        <v>60</v>
      </c>
      <c r="J8" s="8">
        <v>7</v>
      </c>
      <c r="K8">
        <v>308.14999999999998</v>
      </c>
      <c r="L8">
        <v>0</v>
      </c>
      <c r="M8" s="2">
        <v>9.1626525351283945</v>
      </c>
      <c r="N8" s="2">
        <f t="shared" si="0"/>
        <v>9.1624173702602789</v>
      </c>
      <c r="O8" s="2">
        <f t="shared" si="1"/>
        <v>2.3516486811558934E-4</v>
      </c>
      <c r="P8" s="2">
        <f t="shared" si="2"/>
        <v>9.1624052248542895</v>
      </c>
      <c r="Q8" s="2">
        <f t="shared" si="3"/>
        <v>2.4731027410496154E-4</v>
      </c>
      <c r="R8" s="2">
        <f t="shared" si="4"/>
        <v>9.1623323656869005</v>
      </c>
      <c r="S8" s="2">
        <f t="shared" si="5"/>
        <v>3.201694414940448E-4</v>
      </c>
      <c r="U8" s="2"/>
    </row>
    <row r="9" spans="1:21" x14ac:dyDescent="0.2">
      <c r="J9" s="8">
        <v>8</v>
      </c>
      <c r="K9" s="3">
        <v>275.95999999999998</v>
      </c>
      <c r="L9">
        <v>1.5389999999999999</v>
      </c>
      <c r="M9" s="2">
        <v>9.2816954622092496</v>
      </c>
      <c r="N9" s="2">
        <f t="shared" si="0"/>
        <v>9.2830506879037298</v>
      </c>
      <c r="O9" s="2">
        <f t="shared" si="1"/>
        <v>-1.355225694480211E-3</v>
      </c>
      <c r="P9" s="2">
        <f t="shared" si="2"/>
        <v>9.2830216306556146</v>
      </c>
      <c r="Q9" s="2">
        <f t="shared" si="3"/>
        <v>-1.326168446365017E-3</v>
      </c>
      <c r="R9" s="2">
        <f t="shared" si="4"/>
        <v>9.2829661661258864</v>
      </c>
      <c r="S9" s="2">
        <f t="shared" si="5"/>
        <v>-1.2707039166368617E-3</v>
      </c>
      <c r="U9" s="2"/>
    </row>
    <row r="10" spans="1:21" x14ac:dyDescent="0.2">
      <c r="A10" t="s">
        <v>14</v>
      </c>
      <c r="J10" s="8">
        <v>9</v>
      </c>
      <c r="K10" s="3">
        <v>283.66499999999996</v>
      </c>
      <c r="L10">
        <v>1.5389999999999999</v>
      </c>
      <c r="M10" s="2">
        <v>9.1898538180847282</v>
      </c>
      <c r="N10" s="2">
        <f t="shared" si="0"/>
        <v>9.1898417173289069</v>
      </c>
      <c r="O10" s="2">
        <f t="shared" si="1"/>
        <v>1.2100755821364828E-5</v>
      </c>
      <c r="P10" s="2">
        <f t="shared" si="2"/>
        <v>9.1898120740012263</v>
      </c>
      <c r="Q10" s="2">
        <f t="shared" si="3"/>
        <v>4.1744083501882301E-5</v>
      </c>
      <c r="R10" s="2">
        <f t="shared" si="4"/>
        <v>9.1897645876205711</v>
      </c>
      <c r="S10" s="2">
        <f t="shared" si="5"/>
        <v>8.9230464157097344E-5</v>
      </c>
      <c r="U10" s="2"/>
    </row>
    <row r="11" spans="1:21" x14ac:dyDescent="0.2">
      <c r="B11" t="s">
        <v>15</v>
      </c>
      <c r="C11" t="s">
        <v>16</v>
      </c>
      <c r="D11" t="s">
        <v>17</v>
      </c>
      <c r="E11" t="s">
        <v>18</v>
      </c>
      <c r="J11" s="8">
        <v>10</v>
      </c>
      <c r="K11">
        <v>288.16999999999996</v>
      </c>
      <c r="L11">
        <v>1.5389999999999999</v>
      </c>
      <c r="M11" s="2">
        <v>9.1413505036630003</v>
      </c>
      <c r="N11" s="2">
        <f t="shared" si="0"/>
        <v>9.1402281717237397</v>
      </c>
      <c r="O11" s="2">
        <f t="shared" si="1"/>
        <v>1.1223319392605902E-3</v>
      </c>
      <c r="P11" s="2">
        <f t="shared" si="2"/>
        <v>9.1401981863479467</v>
      </c>
      <c r="Q11" s="2">
        <f t="shared" si="3"/>
        <v>1.1523173150536081E-3</v>
      </c>
      <c r="R11" s="2">
        <f t="shared" si="4"/>
        <v>9.140151302309361</v>
      </c>
      <c r="S11" s="2">
        <f t="shared" si="5"/>
        <v>1.1992013536392676E-3</v>
      </c>
      <c r="U11" s="2"/>
    </row>
    <row r="12" spans="1:21" x14ac:dyDescent="0.2">
      <c r="A12" t="s">
        <v>19</v>
      </c>
      <c r="B12">
        <v>-60.774080217200002</v>
      </c>
      <c r="C12">
        <v>2.8428259758999999</v>
      </c>
      <c r="D12">
        <v>-21.38</v>
      </c>
      <c r="E12" t="s">
        <v>54</v>
      </c>
      <c r="F12" t="s">
        <v>21</v>
      </c>
      <c r="J12" s="8">
        <v>11</v>
      </c>
      <c r="K12" s="3">
        <v>293.13499999999999</v>
      </c>
      <c r="L12">
        <v>1.5389999999999999</v>
      </c>
      <c r="M12" s="2">
        <v>9.0894468798349664</v>
      </c>
      <c r="N12" s="2">
        <f t="shared" si="0"/>
        <v>9.0894199946537757</v>
      </c>
      <c r="O12" s="2">
        <f t="shared" si="1"/>
        <v>2.6885181190650087E-5</v>
      </c>
      <c r="P12" s="2">
        <f t="shared" si="2"/>
        <v>9.0893896328160011</v>
      </c>
      <c r="Q12" s="2">
        <f t="shared" si="3"/>
        <v>5.7247018965256302E-5</v>
      </c>
      <c r="R12" s="2">
        <f t="shared" si="4"/>
        <v>9.0893405208374531</v>
      </c>
      <c r="S12" s="2">
        <f t="shared" si="5"/>
        <v>1.0635899751321176E-4</v>
      </c>
      <c r="U12" s="2"/>
    </row>
    <row r="13" spans="1:21" x14ac:dyDescent="0.2">
      <c r="A13" t="s">
        <v>24</v>
      </c>
      <c r="B13">
        <v>3740.7184970015001</v>
      </c>
      <c r="C13">
        <v>124.8426933651</v>
      </c>
      <c r="D13">
        <v>29.96</v>
      </c>
      <c r="E13" t="s">
        <v>54</v>
      </c>
      <c r="F13" t="s">
        <v>21</v>
      </c>
      <c r="J13" s="8">
        <v>12</v>
      </c>
      <c r="K13" s="3">
        <v>297.79999999999995</v>
      </c>
      <c r="L13">
        <v>1.5389999999999999</v>
      </c>
      <c r="M13" s="2">
        <v>9.0479737153482098</v>
      </c>
      <c r="N13" s="2">
        <f t="shared" si="0"/>
        <v>9.0451610537690303</v>
      </c>
      <c r="O13" s="2">
        <f t="shared" si="1"/>
        <v>2.8126615791794762E-3</v>
      </c>
      <c r="P13" s="2">
        <f t="shared" si="2"/>
        <v>9.0451303386899333</v>
      </c>
      <c r="Q13" s="2">
        <f t="shared" si="3"/>
        <v>2.8433766582764974E-3</v>
      </c>
      <c r="R13" s="2">
        <f t="shared" si="4"/>
        <v>9.0450767826558867</v>
      </c>
      <c r="S13" s="2">
        <f t="shared" si="5"/>
        <v>2.896932692323162E-3</v>
      </c>
      <c r="U13" s="2"/>
    </row>
    <row r="14" spans="1:21" x14ac:dyDescent="0.2">
      <c r="A14" t="s">
        <v>41</v>
      </c>
      <c r="B14">
        <v>-207.89230013540001</v>
      </c>
      <c r="C14">
        <v>11.365970991499999</v>
      </c>
      <c r="D14">
        <v>-18.29</v>
      </c>
      <c r="E14" t="s">
        <v>54</v>
      </c>
      <c r="F14" t="s">
        <v>21</v>
      </c>
      <c r="J14" s="17">
        <v>13</v>
      </c>
      <c r="K14" s="3">
        <v>303.375</v>
      </c>
      <c r="L14">
        <v>1.5389999999999999</v>
      </c>
      <c r="M14" s="2">
        <v>8.9939324605153796</v>
      </c>
      <c r="N14" s="2">
        <f t="shared" si="0"/>
        <v>8.9964111032691072</v>
      </c>
      <c r="O14" s="2">
        <f t="shared" si="1"/>
        <v>-2.4786427537275557E-3</v>
      </c>
      <c r="P14" s="2">
        <f t="shared" si="2"/>
        <v>8.9963799666235786</v>
      </c>
      <c r="Q14" s="2">
        <f t="shared" si="3"/>
        <v>-2.4475061081989935E-3</v>
      </c>
      <c r="R14" s="2">
        <f t="shared" si="4"/>
        <v>8.9963186268200843</v>
      </c>
      <c r="S14" s="2">
        <f t="shared" si="5"/>
        <v>-2.3861663047046733E-3</v>
      </c>
      <c r="U14" s="2"/>
    </row>
    <row r="15" spans="1:21" x14ac:dyDescent="0.2">
      <c r="A15" t="s">
        <v>42</v>
      </c>
      <c r="B15">
        <v>-7.8133371500000007E-2</v>
      </c>
      <c r="C15">
        <v>3.1476142E-3</v>
      </c>
      <c r="D15">
        <v>-24.82</v>
      </c>
      <c r="E15" t="s">
        <v>54</v>
      </c>
      <c r="F15" t="s">
        <v>21</v>
      </c>
      <c r="J15" s="8">
        <v>14</v>
      </c>
      <c r="K15">
        <v>307.20999999999998</v>
      </c>
      <c r="L15">
        <v>2.129</v>
      </c>
      <c r="M15" s="2">
        <v>8.9341368171409883</v>
      </c>
      <c r="N15" s="2">
        <f t="shared" si="0"/>
        <v>8.935824028415178</v>
      </c>
      <c r="O15" s="2">
        <f t="shared" si="1"/>
        <v>-1.6872112741896927E-3</v>
      </c>
      <c r="P15" s="2">
        <f t="shared" si="2"/>
        <v>8.9357892353752995</v>
      </c>
      <c r="Q15" s="2">
        <f t="shared" si="3"/>
        <v>-1.6524182343111704E-3</v>
      </c>
      <c r="R15" s="2">
        <f t="shared" si="4"/>
        <v>8.9357168342921565</v>
      </c>
      <c r="S15" s="2">
        <f t="shared" si="5"/>
        <v>-1.5800171511681782E-3</v>
      </c>
      <c r="U15" s="2"/>
    </row>
    <row r="16" spans="1:21" x14ac:dyDescent="0.2">
      <c r="A16" t="s">
        <v>28</v>
      </c>
      <c r="B16">
        <v>10.085742159</v>
      </c>
      <c r="C16">
        <v>0.42541136480000002</v>
      </c>
      <c r="D16">
        <v>23.71</v>
      </c>
      <c r="E16" t="s">
        <v>54</v>
      </c>
      <c r="F16" t="s">
        <v>21</v>
      </c>
      <c r="J16" s="8">
        <v>15</v>
      </c>
      <c r="K16" s="3">
        <v>275.70999999999998</v>
      </c>
      <c r="L16">
        <v>3.0430000000000001</v>
      </c>
      <c r="M16" s="2">
        <v>9.2264391742780294</v>
      </c>
      <c r="N16" s="2">
        <f t="shared" si="0"/>
        <v>9.2277185658808794</v>
      </c>
      <c r="O16" s="2">
        <f t="shared" si="1"/>
        <v>-1.2793916028499552E-3</v>
      </c>
      <c r="P16" s="2">
        <f t="shared" si="2"/>
        <v>9.2276826454263148</v>
      </c>
      <c r="Q16" s="2">
        <f t="shared" si="3"/>
        <v>-1.24347114828538E-3</v>
      </c>
      <c r="R16" s="2">
        <f t="shared" si="4"/>
        <v>9.2276059344954238</v>
      </c>
      <c r="S16" s="2">
        <f t="shared" si="5"/>
        <v>-1.1667602173943692E-3</v>
      </c>
      <c r="U16" s="2"/>
    </row>
    <row r="17" spans="1:21" x14ac:dyDescent="0.2">
      <c r="A17" t="s">
        <v>29</v>
      </c>
      <c r="B17">
        <v>0.31366170180000003</v>
      </c>
      <c r="C17">
        <v>1.65109552E-2</v>
      </c>
      <c r="D17">
        <v>19</v>
      </c>
      <c r="E17" t="s">
        <v>54</v>
      </c>
      <c r="F17" t="s">
        <v>21</v>
      </c>
      <c r="J17" s="8">
        <v>16</v>
      </c>
      <c r="K17" s="3">
        <v>283.70499999999998</v>
      </c>
      <c r="L17">
        <v>3.0430000000000001</v>
      </c>
      <c r="M17" s="2">
        <v>9.1325983446066221</v>
      </c>
      <c r="N17" s="2">
        <f t="shared" si="0"/>
        <v>9.1298193097816167</v>
      </c>
      <c r="O17" s="2">
        <f t="shared" si="1"/>
        <v>2.7790348250054109E-3</v>
      </c>
      <c r="P17" s="2">
        <f t="shared" si="2"/>
        <v>9.1297825614640651</v>
      </c>
      <c r="Q17" s="2">
        <f t="shared" si="3"/>
        <v>2.8157831425570379E-3</v>
      </c>
      <c r="R17" s="2">
        <f t="shared" si="4"/>
        <v>9.1296945878472773</v>
      </c>
      <c r="S17" s="2">
        <f t="shared" si="5"/>
        <v>2.9037567593448443E-3</v>
      </c>
      <c r="U17" s="2"/>
    </row>
    <row r="18" spans="1:21" x14ac:dyDescent="0.2">
      <c r="A18" t="s">
        <v>30</v>
      </c>
      <c r="B18">
        <v>-4.0879434999999999E-3</v>
      </c>
      <c r="C18">
        <v>1.8769279999999999E-4</v>
      </c>
      <c r="D18">
        <v>-21.78</v>
      </c>
      <c r="E18" t="s">
        <v>54</v>
      </c>
      <c r="F18" t="s">
        <v>21</v>
      </c>
      <c r="J18" s="17">
        <v>17</v>
      </c>
      <c r="K18">
        <v>288.37</v>
      </c>
      <c r="L18">
        <v>3.0430000000000001</v>
      </c>
      <c r="M18" s="2">
        <v>9.0792442506120992</v>
      </c>
      <c r="N18" s="2">
        <f t="shared" si="0"/>
        <v>9.0776081307856931</v>
      </c>
      <c r="O18" s="2">
        <f t="shared" si="1"/>
        <v>1.6361198264061017E-3</v>
      </c>
      <c r="P18" s="2">
        <f t="shared" si="2"/>
        <v>9.0775709000332103</v>
      </c>
      <c r="Q18" s="2">
        <f t="shared" si="3"/>
        <v>1.6733505788888436E-3</v>
      </c>
      <c r="R18" s="2">
        <f t="shared" si="4"/>
        <v>9.0774793900358066</v>
      </c>
      <c r="S18" s="2">
        <f t="shared" si="5"/>
        <v>1.7648605762925484E-3</v>
      </c>
      <c r="U18" s="2"/>
    </row>
    <row r="19" spans="1:21" x14ac:dyDescent="0.2">
      <c r="A19" t="s">
        <v>43</v>
      </c>
      <c r="B19">
        <v>1.82917E-5</v>
      </c>
      <c r="C19">
        <v>3.7549999999999999E-7</v>
      </c>
      <c r="D19">
        <v>48.71</v>
      </c>
      <c r="E19" t="s">
        <v>54</v>
      </c>
      <c r="F19" t="s">
        <v>21</v>
      </c>
      <c r="J19" s="17">
        <v>18</v>
      </c>
      <c r="K19">
        <v>293.20999999999998</v>
      </c>
      <c r="L19">
        <v>3.0430000000000001</v>
      </c>
      <c r="M19" s="2">
        <v>9.0266279869348995</v>
      </c>
      <c r="N19" s="2">
        <f t="shared" si="0"/>
        <v>9.0269763927756177</v>
      </c>
      <c r="O19" s="2">
        <f t="shared" si="1"/>
        <v>-3.4840584071815783E-4</v>
      </c>
      <c r="P19" s="2">
        <f t="shared" si="2"/>
        <v>9.0269386619498473</v>
      </c>
      <c r="Q19" s="2">
        <f t="shared" si="3"/>
        <v>-3.1067501494774774E-4</v>
      </c>
      <c r="R19" s="2">
        <f t="shared" si="4"/>
        <v>9.0268461015669672</v>
      </c>
      <c r="S19" s="2">
        <f t="shared" si="5"/>
        <v>-2.1811463206766746E-4</v>
      </c>
      <c r="U19" s="2"/>
    </row>
    <row r="20" spans="1:21" x14ac:dyDescent="0.2">
      <c r="A20" t="s">
        <v>40</v>
      </c>
      <c r="J20" s="8">
        <v>19</v>
      </c>
      <c r="K20">
        <v>297.81</v>
      </c>
      <c r="L20">
        <v>3.0430000000000001</v>
      </c>
      <c r="M20" s="2">
        <v>8.9785222278566614</v>
      </c>
      <c r="N20" s="2">
        <f t="shared" si="0"/>
        <v>8.9819936541836594</v>
      </c>
      <c r="O20" s="2">
        <f t="shared" si="1"/>
        <v>-3.4714263269979284E-3</v>
      </c>
      <c r="P20" s="2">
        <f t="shared" si="2"/>
        <v>8.9819554485013633</v>
      </c>
      <c r="Q20" s="2">
        <f t="shared" si="3"/>
        <v>-3.4332206447018621E-3</v>
      </c>
      <c r="R20" s="2">
        <f t="shared" si="4"/>
        <v>8.9818645295449944</v>
      </c>
      <c r="S20" s="2">
        <f t="shared" si="5"/>
        <v>-3.3423016883329382E-3</v>
      </c>
      <c r="U20" s="2"/>
    </row>
    <row r="21" spans="1:21" x14ac:dyDescent="0.2">
      <c r="A21" t="s">
        <v>44</v>
      </c>
      <c r="B21" t="s">
        <v>45</v>
      </c>
      <c r="C21" t="s">
        <v>46</v>
      </c>
      <c r="D21">
        <v>1</v>
      </c>
      <c r="J21" s="8">
        <v>20</v>
      </c>
      <c r="K21" s="3">
        <v>302.27</v>
      </c>
      <c r="L21">
        <v>3.0430000000000001</v>
      </c>
      <c r="M21" s="2">
        <v>8.9413681714099003</v>
      </c>
      <c r="N21" s="2">
        <f t="shared" si="0"/>
        <v>8.9411282569082751</v>
      </c>
      <c r="O21" s="2">
        <f t="shared" si="1"/>
        <v>2.3991450162519357E-4</v>
      </c>
      <c r="P21" s="2">
        <f t="shared" si="2"/>
        <v>8.9410895912000292</v>
      </c>
      <c r="Q21" s="2">
        <f t="shared" si="3"/>
        <v>2.7858020987103771E-4</v>
      </c>
      <c r="R21" s="2">
        <f t="shared" si="4"/>
        <v>8.9410028565886623</v>
      </c>
      <c r="S21" s="2">
        <f t="shared" si="5"/>
        <v>3.6531482123791648E-4</v>
      </c>
      <c r="U21" s="2"/>
    </row>
    <row r="22" spans="1:21" x14ac:dyDescent="0.2">
      <c r="J22" s="8">
        <v>21</v>
      </c>
      <c r="K22" s="3">
        <v>308.43999999999994</v>
      </c>
      <c r="L22">
        <v>3.0430000000000001</v>
      </c>
      <c r="M22" s="2">
        <v>8.8910888943408608</v>
      </c>
      <c r="N22" s="2">
        <f t="shared" si="0"/>
        <v>8.8887717431732778</v>
      </c>
      <c r="O22" s="2">
        <f t="shared" si="1"/>
        <v>2.3171511675830203E-3</v>
      </c>
      <c r="P22" s="2">
        <f t="shared" si="2"/>
        <v>8.888732441655149</v>
      </c>
      <c r="Q22" s="2">
        <f t="shared" si="3"/>
        <v>2.3564526857118295E-3</v>
      </c>
      <c r="R22" s="2">
        <f t="shared" si="4"/>
        <v>8.8886559168873642</v>
      </c>
      <c r="S22" s="2">
        <f t="shared" si="5"/>
        <v>2.4329774534965765E-3</v>
      </c>
      <c r="U22" s="2"/>
    </row>
    <row r="23" spans="1:21" x14ac:dyDescent="0.2">
      <c r="J23" s="8">
        <v>22</v>
      </c>
      <c r="K23" s="3">
        <v>276.26666666666665</v>
      </c>
      <c r="L23">
        <v>4.4669999999999996</v>
      </c>
      <c r="M23" s="2">
        <v>9.1776028068965907</v>
      </c>
      <c r="N23" s="2">
        <f t="shared" si="0"/>
        <v>9.1805607672319773</v>
      </c>
      <c r="O23" s="2">
        <f t="shared" si="1"/>
        <v>-2.9579603353866446E-3</v>
      </c>
      <c r="P23" s="2">
        <f t="shared" si="2"/>
        <v>9.1805197633611755</v>
      </c>
      <c r="Q23" s="2">
        <f t="shared" si="3"/>
        <v>-2.9169564645847856E-3</v>
      </c>
      <c r="R23" s="2">
        <f t="shared" si="4"/>
        <v>9.1804238887748344</v>
      </c>
      <c r="S23" s="2">
        <f t="shared" si="5"/>
        <v>-2.821081878243703E-3</v>
      </c>
      <c r="U23" s="2"/>
    </row>
    <row r="24" spans="1:21" x14ac:dyDescent="0.2">
      <c r="J24" s="8">
        <v>23</v>
      </c>
      <c r="K24">
        <v>283.55999999999995</v>
      </c>
      <c r="L24">
        <v>5.8970000000000002</v>
      </c>
      <c r="M24" s="2">
        <v>9.0541888318700003</v>
      </c>
      <c r="N24" s="2">
        <f t="shared" si="0"/>
        <v>9.0578988436137404</v>
      </c>
      <c r="O24" s="2">
        <f t="shared" si="1"/>
        <v>-3.7100117437400826E-3</v>
      </c>
      <c r="P24" s="2">
        <f t="shared" si="2"/>
        <v>9.0578525454316914</v>
      </c>
      <c r="Q24" s="2">
        <f t="shared" si="3"/>
        <v>-3.6637135616910399E-3</v>
      </c>
      <c r="R24" s="2">
        <f t="shared" si="4"/>
        <v>9.0577062787331748</v>
      </c>
      <c r="S24" s="2">
        <f t="shared" si="5"/>
        <v>-3.517446863174456E-3</v>
      </c>
      <c r="U24" s="2"/>
    </row>
    <row r="25" spans="1:21" x14ac:dyDescent="0.2">
      <c r="J25" s="17">
        <v>24</v>
      </c>
      <c r="K25">
        <v>288.49</v>
      </c>
      <c r="L25">
        <v>5.8970000000000002</v>
      </c>
      <c r="M25" s="2">
        <v>9.0003452256033594</v>
      </c>
      <c r="N25" s="2">
        <f t="shared" si="0"/>
        <v>9.0014510370022638</v>
      </c>
      <c r="O25" s="2">
        <f t="shared" si="1"/>
        <v>-1.1058113989044216E-3</v>
      </c>
      <c r="P25" s="2">
        <f t="shared" si="2"/>
        <v>9.0014040461977327</v>
      </c>
      <c r="Q25" s="2">
        <f t="shared" si="3"/>
        <v>-1.0588205943733442E-3</v>
      </c>
      <c r="R25" s="2">
        <f t="shared" si="4"/>
        <v>9.0012481153698243</v>
      </c>
      <c r="S25" s="2">
        <f t="shared" si="5"/>
        <v>-9.0288976646490937E-4</v>
      </c>
      <c r="U25" s="2"/>
    </row>
    <row r="26" spans="1:21" x14ac:dyDescent="0.2">
      <c r="J26" s="8">
        <v>25</v>
      </c>
      <c r="K26">
        <v>293.2</v>
      </c>
      <c r="L26" s="4">
        <v>5.9045000000000005</v>
      </c>
      <c r="M26" s="2">
        <v>8.9526014268523291</v>
      </c>
      <c r="N26" s="2">
        <f t="shared" si="0"/>
        <v>8.9505228024753798</v>
      </c>
      <c r="O26" s="2">
        <f t="shared" si="1"/>
        <v>2.0786243769492785E-3</v>
      </c>
      <c r="P26" s="2">
        <f t="shared" si="2"/>
        <v>8.9504751280527461</v>
      </c>
      <c r="Q26" s="2">
        <f t="shared" si="3"/>
        <v>2.1262987995829263E-3</v>
      </c>
      <c r="R26" s="2">
        <f t="shared" si="4"/>
        <v>8.9503196893061752</v>
      </c>
      <c r="S26" s="2">
        <f t="shared" si="5"/>
        <v>2.2817375461539058E-3</v>
      </c>
      <c r="U26" s="2"/>
    </row>
    <row r="27" spans="1:21" x14ac:dyDescent="0.2">
      <c r="J27" s="8">
        <v>26</v>
      </c>
      <c r="K27">
        <v>297.95</v>
      </c>
      <c r="L27">
        <v>5.9119999999999999</v>
      </c>
      <c r="M27" s="6">
        <v>8.9035137762001355</v>
      </c>
      <c r="N27" s="2">
        <f t="shared" si="0"/>
        <v>8.902089800836178</v>
      </c>
      <c r="O27" s="2">
        <f t="shared" si="1"/>
        <v>1.4239753639575525E-3</v>
      </c>
      <c r="P27" s="2">
        <f t="shared" si="2"/>
        <v>8.9020414367825023</v>
      </c>
      <c r="Q27" s="2">
        <f t="shared" si="3"/>
        <v>1.4723394176332505E-3</v>
      </c>
      <c r="R27" s="2">
        <f t="shared" si="4"/>
        <v>8.9018961517280015</v>
      </c>
      <c r="S27" s="2">
        <f t="shared" si="5"/>
        <v>1.6176244721339827E-3</v>
      </c>
      <c r="U27" s="2"/>
    </row>
    <row r="28" spans="1:21" x14ac:dyDescent="0.2">
      <c r="J28" s="8">
        <v>27</v>
      </c>
      <c r="K28">
        <v>302.53999999999996</v>
      </c>
      <c r="L28">
        <v>5.8970000000000002</v>
      </c>
      <c r="M28" s="2">
        <v>8.8553200332502069</v>
      </c>
      <c r="N28" s="2">
        <f t="shared" si="0"/>
        <v>8.8584194140457342</v>
      </c>
      <c r="O28" s="2">
        <f t="shared" si="1"/>
        <v>-3.0993807955272956E-3</v>
      </c>
      <c r="P28" s="2">
        <f t="shared" si="2"/>
        <v>8.8583704516255359</v>
      </c>
      <c r="Q28" s="2">
        <f t="shared" si="3"/>
        <v>-3.0504183753290448E-3</v>
      </c>
      <c r="R28" s="2">
        <f t="shared" si="4"/>
        <v>8.8582443697942459</v>
      </c>
      <c r="S28" s="2">
        <f t="shared" si="5"/>
        <v>-2.9243365440390079E-3</v>
      </c>
      <c r="U28" s="2"/>
    </row>
    <row r="29" spans="1:21" x14ac:dyDescent="0.2">
      <c r="J29" s="8">
        <v>28</v>
      </c>
      <c r="K29">
        <v>307.60999999999996</v>
      </c>
      <c r="L29">
        <v>5.8970000000000002</v>
      </c>
      <c r="M29" s="6">
        <v>8.8097999999999992</v>
      </c>
      <c r="N29" s="2">
        <f t="shared" si="0"/>
        <v>8.8126266235881783</v>
      </c>
      <c r="O29" s="2">
        <f t="shared" si="1"/>
        <v>-2.8266235881790891E-3</v>
      </c>
      <c r="P29" s="2">
        <f t="shared" si="2"/>
        <v>8.8125769504899232</v>
      </c>
      <c r="Q29" s="2">
        <f t="shared" si="3"/>
        <v>-2.7769504899239905E-3</v>
      </c>
      <c r="R29" s="2">
        <f t="shared" si="4"/>
        <v>8.8124819562948655</v>
      </c>
      <c r="S29" s="2">
        <f t="shared" si="5"/>
        <v>-2.6819562948663389E-3</v>
      </c>
      <c r="U29" s="2"/>
    </row>
    <row r="30" spans="1:21" x14ac:dyDescent="0.2">
      <c r="J30" s="17">
        <v>29</v>
      </c>
      <c r="K30" s="3">
        <v>275.41999999999996</v>
      </c>
      <c r="L30">
        <v>14.657</v>
      </c>
      <c r="M30" s="6">
        <v>9.0316803419232201</v>
      </c>
      <c r="N30" s="2">
        <f t="shared" si="0"/>
        <v>9.0307965937119139</v>
      </c>
      <c r="O30" s="2">
        <f t="shared" si="1"/>
        <v>8.8374821130621228E-4</v>
      </c>
      <c r="P30" s="2">
        <f t="shared" si="2"/>
        <v>9.0307327209856147</v>
      </c>
      <c r="Q30" s="2">
        <f t="shared" si="3"/>
        <v>9.4762093760536459E-4</v>
      </c>
      <c r="R30" s="2">
        <f t="shared" si="4"/>
        <v>9.03055341160076</v>
      </c>
      <c r="S30" s="2">
        <f t="shared" si="5"/>
        <v>1.1269303224601401E-3</v>
      </c>
      <c r="U30" s="2"/>
    </row>
    <row r="31" spans="1:21" x14ac:dyDescent="0.2">
      <c r="J31" s="8">
        <v>30</v>
      </c>
      <c r="K31" s="3">
        <v>283.47999999999996</v>
      </c>
      <c r="L31">
        <v>14.657</v>
      </c>
      <c r="M31" s="6">
        <v>8.9275832146671412</v>
      </c>
      <c r="N31" s="2">
        <f t="shared" si="0"/>
        <v>8.9283679360792547</v>
      </c>
      <c r="O31" s="2">
        <f t="shared" si="1"/>
        <v>-7.8472141211349822E-4</v>
      </c>
      <c r="P31" s="2">
        <f t="shared" si="2"/>
        <v>8.9283023256493941</v>
      </c>
      <c r="Q31" s="2">
        <f t="shared" si="3"/>
        <v>-7.1911098225285741E-4</v>
      </c>
      <c r="R31" s="2">
        <f t="shared" si="4"/>
        <v>8.9280267752142084</v>
      </c>
      <c r="S31" s="2">
        <f t="shared" si="5"/>
        <v>-4.4356054706717885E-4</v>
      </c>
      <c r="U31" s="2"/>
    </row>
    <row r="32" spans="1:21" x14ac:dyDescent="0.2">
      <c r="J32" s="8">
        <v>31</v>
      </c>
      <c r="K32" s="3">
        <v>288.64499999999998</v>
      </c>
      <c r="L32" s="1">
        <v>14.52</v>
      </c>
      <c r="M32" s="2">
        <v>8.8662283578174197</v>
      </c>
      <c r="N32" s="2">
        <f t="shared" si="0"/>
        <v>8.8683717226729453</v>
      </c>
      <c r="O32" s="2">
        <f t="shared" si="1"/>
        <v>-2.1433648555255758E-3</v>
      </c>
      <c r="P32" s="2">
        <f t="shared" si="2"/>
        <v>8.8683052494704704</v>
      </c>
      <c r="Q32" s="2">
        <f t="shared" si="3"/>
        <v>-2.0768916530506942E-3</v>
      </c>
      <c r="R32" s="2">
        <f t="shared" si="4"/>
        <v>8.8680088511444417</v>
      </c>
      <c r="S32" s="2">
        <f t="shared" si="5"/>
        <v>-1.7804933270220147E-3</v>
      </c>
      <c r="U32" s="2"/>
    </row>
    <row r="33" spans="10:21" x14ac:dyDescent="0.2">
      <c r="J33" s="17">
        <v>32</v>
      </c>
      <c r="K33" s="3">
        <v>293.15499999999997</v>
      </c>
      <c r="L33" s="1">
        <v>14.52</v>
      </c>
      <c r="M33" s="2">
        <v>8.8143630737493002</v>
      </c>
      <c r="N33" s="2">
        <f t="shared" si="0"/>
        <v>8.8170626207501019</v>
      </c>
      <c r="O33" s="2">
        <f t="shared" si="1"/>
        <v>-2.6995470008017719E-3</v>
      </c>
      <c r="P33" s="2">
        <f t="shared" si="2"/>
        <v>8.81699518017437</v>
      </c>
      <c r="Q33" s="2">
        <f t="shared" si="3"/>
        <v>-2.6321064250698356E-3</v>
      </c>
      <c r="R33" s="2">
        <f t="shared" si="4"/>
        <v>8.8167026972886191</v>
      </c>
      <c r="S33" s="2">
        <f t="shared" si="5"/>
        <v>-2.3396235393189357E-3</v>
      </c>
      <c r="U33" s="2"/>
    </row>
    <row r="34" spans="10:21" x14ac:dyDescent="0.2">
      <c r="J34" s="8">
        <v>33</v>
      </c>
      <c r="K34" s="3">
        <v>297.97499999999997</v>
      </c>
      <c r="L34">
        <v>15.743</v>
      </c>
      <c r="M34" s="6">
        <v>8.7530373140635582</v>
      </c>
      <c r="N34" s="2">
        <f t="shared" si="0"/>
        <v>8.7504273602644052</v>
      </c>
      <c r="O34" s="2">
        <f t="shared" si="1"/>
        <v>2.6099537991530752E-3</v>
      </c>
      <c r="P34" s="2">
        <f t="shared" si="2"/>
        <v>8.7503566153090073</v>
      </c>
      <c r="Q34" s="2">
        <f t="shared" si="3"/>
        <v>2.6806987545509031E-3</v>
      </c>
      <c r="R34" s="2">
        <f t="shared" si="4"/>
        <v>8.7500774488783684</v>
      </c>
      <c r="S34" s="2">
        <f t="shared" si="5"/>
        <v>2.9598651851898694E-3</v>
      </c>
      <c r="U34" s="2"/>
    </row>
    <row r="35" spans="10:21" x14ac:dyDescent="0.2">
      <c r="J35" s="8">
        <v>34</v>
      </c>
      <c r="K35" s="3">
        <v>302.92500000000001</v>
      </c>
      <c r="L35">
        <v>15.743</v>
      </c>
      <c r="M35" s="2">
        <v>8.702070864505405</v>
      </c>
      <c r="N35" s="2">
        <f t="shared" si="0"/>
        <v>8.6983350728730358</v>
      </c>
      <c r="O35" s="2">
        <f t="shared" si="1"/>
        <v>3.7357916323692564E-3</v>
      </c>
      <c r="P35" s="2">
        <f t="shared" si="2"/>
        <v>8.6982632253457641</v>
      </c>
      <c r="Q35" s="2">
        <f t="shared" si="3"/>
        <v>3.8076391596408854E-3</v>
      </c>
      <c r="R35" s="2">
        <f t="shared" si="4"/>
        <v>8.6980406579987299</v>
      </c>
      <c r="S35" s="2">
        <f t="shared" si="5"/>
        <v>4.0302065066750714E-3</v>
      </c>
      <c r="U35" s="2"/>
    </row>
    <row r="36" spans="10:21" x14ac:dyDescent="0.2">
      <c r="J36" s="8">
        <v>35</v>
      </c>
      <c r="K36">
        <v>307.89</v>
      </c>
      <c r="L36" s="1">
        <v>14.52</v>
      </c>
      <c r="M36" s="2">
        <v>8.6611999999999991</v>
      </c>
      <c r="N36" s="2">
        <f t="shared" si="0"/>
        <v>8.6633230574434297</v>
      </c>
      <c r="O36" s="2">
        <f t="shared" si="1"/>
        <v>-2.1230574434305538E-3</v>
      </c>
      <c r="P36" s="2">
        <f t="shared" si="2"/>
        <v>8.6632524579691914</v>
      </c>
      <c r="Q36" s="2">
        <f t="shared" si="3"/>
        <v>-2.0524579691922895E-3</v>
      </c>
      <c r="R36" s="2">
        <f t="shared" si="4"/>
        <v>8.6631178760368233</v>
      </c>
      <c r="S36" s="2">
        <f t="shared" si="5"/>
        <v>-1.9178760368241399E-3</v>
      </c>
      <c r="U36" s="2"/>
    </row>
    <row r="37" spans="10:21" x14ac:dyDescent="0.2">
      <c r="J37" s="8">
        <v>36</v>
      </c>
      <c r="K37" s="3">
        <v>275.38</v>
      </c>
      <c r="L37" s="4">
        <v>24.65</v>
      </c>
      <c r="M37" s="2">
        <v>8.9433744863989997</v>
      </c>
      <c r="N37" s="2">
        <f t="shared" si="0"/>
        <v>8.9439489062776598</v>
      </c>
      <c r="O37" s="2">
        <f t="shared" si="1"/>
        <v>-5.7441987866013733E-4</v>
      </c>
      <c r="P37" s="2">
        <f t="shared" si="2"/>
        <v>8.9438700893850154</v>
      </c>
      <c r="Q37" s="2">
        <f t="shared" si="3"/>
        <v>-4.9560298601569741E-4</v>
      </c>
      <c r="R37" s="2">
        <f t="shared" si="4"/>
        <v>8.9436244616260829</v>
      </c>
      <c r="S37" s="2">
        <f t="shared" si="5"/>
        <v>-2.4997522708325448E-4</v>
      </c>
      <c r="U37" s="2"/>
    </row>
    <row r="38" spans="10:21" x14ac:dyDescent="0.2">
      <c r="J38" s="8">
        <v>37</v>
      </c>
      <c r="K38" s="3">
        <v>283.58499999999998</v>
      </c>
      <c r="L38" s="4">
        <v>24.65</v>
      </c>
      <c r="M38" s="2">
        <v>8.8398284531861879</v>
      </c>
      <c r="N38" s="2">
        <f t="shared" si="0"/>
        <v>8.8383795165739869</v>
      </c>
      <c r="O38" s="2">
        <f t="shared" si="1"/>
        <v>1.4489366122010239E-3</v>
      </c>
      <c r="P38" s="2">
        <f t="shared" si="2"/>
        <v>8.83829843842177</v>
      </c>
      <c r="Q38" s="2">
        <f t="shared" si="3"/>
        <v>1.5300147644179418E-3</v>
      </c>
      <c r="R38" s="2">
        <f t="shared" si="4"/>
        <v>8.8379080113130541</v>
      </c>
      <c r="S38" s="2">
        <f t="shared" si="5"/>
        <v>1.9204418731337825E-3</v>
      </c>
      <c r="U38" s="2"/>
    </row>
    <row r="39" spans="10:21" x14ac:dyDescent="0.2">
      <c r="J39" s="8">
        <v>38</v>
      </c>
      <c r="K39">
        <v>288.58</v>
      </c>
      <c r="L39" s="4">
        <v>24.65</v>
      </c>
      <c r="M39" s="2">
        <v>8.7743529206016078</v>
      </c>
      <c r="N39" s="2">
        <f t="shared" si="0"/>
        <v>8.7772254577006681</v>
      </c>
      <c r="O39" s="2">
        <f t="shared" si="1"/>
        <v>-2.8725370990603238E-3</v>
      </c>
      <c r="P39" s="2">
        <f t="shared" si="2"/>
        <v>8.7771430032409068</v>
      </c>
      <c r="Q39" s="2">
        <f t="shared" si="3"/>
        <v>-2.7900826392990297E-3</v>
      </c>
      <c r="R39" s="2">
        <f t="shared" si="4"/>
        <v>8.776720642925067</v>
      </c>
      <c r="S39" s="2">
        <f t="shared" si="5"/>
        <v>-2.3677223234592759E-3</v>
      </c>
      <c r="U39" s="2"/>
    </row>
    <row r="40" spans="10:21" x14ac:dyDescent="0.2">
      <c r="J40" s="8">
        <v>39</v>
      </c>
      <c r="K40" s="3">
        <v>293.30499999999995</v>
      </c>
      <c r="L40" s="4">
        <v>24.65</v>
      </c>
      <c r="M40" s="2">
        <v>8.7233808234485117</v>
      </c>
      <c r="N40" s="2">
        <f t="shared" si="0"/>
        <v>8.7213465478677854</v>
      </c>
      <c r="O40" s="2">
        <f t="shared" si="1"/>
        <v>2.0342755807263302E-3</v>
      </c>
      <c r="P40" s="2">
        <f t="shared" si="2"/>
        <v>8.7212627916897301</v>
      </c>
      <c r="Q40" s="2">
        <f t="shared" si="3"/>
        <v>2.1180317587816688E-3</v>
      </c>
      <c r="R40" s="2">
        <f t="shared" si="4"/>
        <v>8.7208475214180634</v>
      </c>
      <c r="S40" s="2">
        <f t="shared" si="5"/>
        <v>2.5333020304483256E-3</v>
      </c>
      <c r="U40" s="2"/>
    </row>
    <row r="41" spans="10:21" x14ac:dyDescent="0.2">
      <c r="J41" s="8">
        <v>40</v>
      </c>
      <c r="K41">
        <v>298.35000000000002</v>
      </c>
      <c r="L41" s="4">
        <v>24.65</v>
      </c>
      <c r="M41" s="2">
        <v>8.6677184646426415</v>
      </c>
      <c r="N41" s="2">
        <f t="shared" si="0"/>
        <v>8.6636364410887996</v>
      </c>
      <c r="O41" s="2">
        <f t="shared" si="1"/>
        <v>4.082023553841907E-3</v>
      </c>
      <c r="P41" s="2">
        <f t="shared" si="2"/>
        <v>8.6635512952351679</v>
      </c>
      <c r="Q41" s="2">
        <f t="shared" si="3"/>
        <v>4.1671694074736365E-3</v>
      </c>
      <c r="R41" s="2">
        <f t="shared" si="4"/>
        <v>8.6631820861549169</v>
      </c>
      <c r="S41" s="2">
        <f t="shared" si="5"/>
        <v>4.5363784877245905E-3</v>
      </c>
      <c r="U41" s="2"/>
    </row>
    <row r="42" spans="10:21" x14ac:dyDescent="0.2">
      <c r="J42" s="8">
        <v>41</v>
      </c>
      <c r="K42">
        <v>301.95999999999998</v>
      </c>
      <c r="L42" s="4">
        <v>24.65</v>
      </c>
      <c r="M42" s="2">
        <v>8.6204332917705724</v>
      </c>
      <c r="N42" s="2">
        <f t="shared" si="0"/>
        <v>8.623493899399115</v>
      </c>
      <c r="O42" s="2">
        <f t="shared" si="1"/>
        <v>-3.0606076285426553E-3</v>
      </c>
      <c r="P42" s="2">
        <f t="shared" si="2"/>
        <v>8.6234077592731051</v>
      </c>
      <c r="Q42" s="2">
        <f t="shared" si="3"/>
        <v>-2.9744675025327183E-3</v>
      </c>
      <c r="R42" s="2">
        <f t="shared" si="4"/>
        <v>8.6230950721063202</v>
      </c>
      <c r="S42" s="2">
        <f t="shared" si="5"/>
        <v>-2.6617803357478209E-3</v>
      </c>
      <c r="U42" s="2"/>
    </row>
    <row r="43" spans="10:21" x14ac:dyDescent="0.2">
      <c r="J43" s="17">
        <v>42</v>
      </c>
      <c r="K43">
        <v>306.97999999999996</v>
      </c>
      <c r="L43" s="4">
        <v>24.65</v>
      </c>
      <c r="M43" s="2">
        <v>8.5684872015047997</v>
      </c>
      <c r="N43" s="2">
        <f t="shared" si="0"/>
        <v>8.5691576681162296</v>
      </c>
      <c r="O43" s="2">
        <f t="shared" si="1"/>
        <v>-6.7046661142988739E-4</v>
      </c>
      <c r="P43" s="2">
        <f t="shared" si="2"/>
        <v>8.5690701455396621</v>
      </c>
      <c r="Q43" s="2">
        <f t="shared" si="3"/>
        <v>-5.829440348623649E-4</v>
      </c>
      <c r="R43" s="2">
        <f t="shared" si="4"/>
        <v>8.5688676021506414</v>
      </c>
      <c r="S43" s="2">
        <f t="shared" si="5"/>
        <v>-3.8040064584166089E-4</v>
      </c>
      <c r="U43" s="2"/>
    </row>
    <row r="44" spans="10:21" x14ac:dyDescent="0.2">
      <c r="J44" s="8">
        <v>43</v>
      </c>
      <c r="K44" s="3">
        <v>275.495</v>
      </c>
      <c r="L44" s="4">
        <v>35.795000000000002</v>
      </c>
      <c r="M44" s="2">
        <v>8.8763578473235789</v>
      </c>
      <c r="N44" s="2">
        <f t="shared" si="0"/>
        <v>8.8760488530702091</v>
      </c>
      <c r="O44" s="2">
        <f t="shared" si="1"/>
        <v>3.0899425336983199E-4</v>
      </c>
      <c r="P44" s="2">
        <f t="shared" si="2"/>
        <v>8.875956785153619</v>
      </c>
      <c r="Q44" s="2">
        <f t="shared" si="3"/>
        <v>4.0106216995994259E-4</v>
      </c>
      <c r="R44" s="2">
        <f t="shared" si="4"/>
        <v>8.8756415495102505</v>
      </c>
      <c r="S44" s="2">
        <f t="shared" si="5"/>
        <v>7.1629781332838149E-4</v>
      </c>
      <c r="U44" s="2"/>
    </row>
    <row r="45" spans="10:21" x14ac:dyDescent="0.2">
      <c r="J45" s="8">
        <v>44</v>
      </c>
      <c r="K45">
        <v>283.64</v>
      </c>
      <c r="L45">
        <v>35.723999999999997</v>
      </c>
      <c r="M45" s="2">
        <v>8.7697320279751008</v>
      </c>
      <c r="N45" s="2">
        <f t="shared" si="0"/>
        <v>8.7708076944395916</v>
      </c>
      <c r="O45" s="2">
        <f t="shared" si="1"/>
        <v>-1.0756664644908653E-3</v>
      </c>
      <c r="P45" s="2">
        <f t="shared" si="2"/>
        <v>8.7707130284836428</v>
      </c>
      <c r="Q45" s="2">
        <f t="shared" si="3"/>
        <v>-9.8100050854199594E-4</v>
      </c>
      <c r="R45" s="2">
        <f t="shared" si="4"/>
        <v>8.7702142072912128</v>
      </c>
      <c r="S45" s="2">
        <f t="shared" si="5"/>
        <v>-4.8217931611205245E-4</v>
      </c>
      <c r="U45" s="2"/>
    </row>
    <row r="46" spans="10:21" x14ac:dyDescent="0.2">
      <c r="J46" s="8">
        <v>45</v>
      </c>
      <c r="K46">
        <v>287.95999999999998</v>
      </c>
      <c r="L46">
        <v>36.853999999999999</v>
      </c>
      <c r="M46" s="2">
        <v>8.7066172612801669</v>
      </c>
      <c r="N46" s="2">
        <f t="shared" si="0"/>
        <v>8.7110151366116053</v>
      </c>
      <c r="O46" s="2">
        <f t="shared" si="1"/>
        <v>-4.3978753314384278E-3</v>
      </c>
      <c r="P46" s="2">
        <f t="shared" si="2"/>
        <v>8.710917782196427</v>
      </c>
      <c r="Q46" s="2">
        <f t="shared" si="3"/>
        <v>-4.3005209162600977E-3</v>
      </c>
      <c r="R46" s="2">
        <f t="shared" si="4"/>
        <v>8.7103698675021324</v>
      </c>
      <c r="S46" s="2">
        <f t="shared" si="5"/>
        <v>-3.7526062219654932E-3</v>
      </c>
      <c r="U46" s="2"/>
    </row>
    <row r="47" spans="10:21" x14ac:dyDescent="0.2">
      <c r="J47" s="8">
        <v>46</v>
      </c>
      <c r="K47">
        <v>293.13</v>
      </c>
      <c r="L47">
        <v>35.570999999999998</v>
      </c>
      <c r="M47" s="2">
        <v>8.6511679130135803</v>
      </c>
      <c r="N47" s="2">
        <f t="shared" si="0"/>
        <v>8.6544306479414637</v>
      </c>
      <c r="O47" s="2">
        <f t="shared" si="1"/>
        <v>-3.2627349278833151E-3</v>
      </c>
      <c r="P47" s="2">
        <f t="shared" si="2"/>
        <v>8.6543330431542174</v>
      </c>
      <c r="Q47" s="2">
        <f t="shared" si="3"/>
        <v>-3.165130140637018E-3</v>
      </c>
      <c r="R47" s="2">
        <f t="shared" si="4"/>
        <v>8.6538037424260548</v>
      </c>
      <c r="S47" s="2">
        <f t="shared" si="5"/>
        <v>-2.6358294124744219E-3</v>
      </c>
      <c r="U47" s="2"/>
    </row>
    <row r="48" spans="10:21" x14ac:dyDescent="0.2">
      <c r="J48" s="8">
        <v>47</v>
      </c>
      <c r="K48">
        <v>297.67999999999995</v>
      </c>
      <c r="L48">
        <v>35.564</v>
      </c>
      <c r="M48" s="2">
        <v>8.6022861730899294</v>
      </c>
      <c r="N48" s="2">
        <f t="shared" si="0"/>
        <v>8.6002577855167761</v>
      </c>
      <c r="O48" s="2">
        <f t="shared" si="1"/>
        <v>2.0283875731532675E-3</v>
      </c>
      <c r="P48" s="2">
        <f t="shared" si="2"/>
        <v>8.6001586982414082</v>
      </c>
      <c r="Q48" s="2">
        <f t="shared" si="3"/>
        <v>2.1274748485211603E-3</v>
      </c>
      <c r="R48" s="2">
        <f t="shared" si="4"/>
        <v>8.5996793807807848</v>
      </c>
      <c r="S48" s="2">
        <f t="shared" si="5"/>
        <v>2.6067923091446232E-3</v>
      </c>
      <c r="U48" s="2"/>
    </row>
    <row r="49" spans="10:21" x14ac:dyDescent="0.2">
      <c r="J49" s="8">
        <v>48</v>
      </c>
      <c r="K49">
        <v>303.14999999999998</v>
      </c>
      <c r="L49">
        <v>35.723999999999997</v>
      </c>
      <c r="M49" s="2">
        <v>8.5391832917705734</v>
      </c>
      <c r="N49" s="2">
        <f t="shared" si="0"/>
        <v>8.5356654957515357</v>
      </c>
      <c r="O49" s="2">
        <f t="shared" si="1"/>
        <v>3.5177960190377888E-3</v>
      </c>
      <c r="P49" s="2">
        <f t="shared" si="2"/>
        <v>8.5355644244792632</v>
      </c>
      <c r="Q49" s="2">
        <f t="shared" si="3"/>
        <v>3.6188672913102238E-3</v>
      </c>
      <c r="R49" s="2">
        <f t="shared" si="4"/>
        <v>8.5351970622867359</v>
      </c>
      <c r="S49" s="2">
        <f t="shared" si="5"/>
        <v>3.9862294838375334E-3</v>
      </c>
      <c r="U49" s="2"/>
    </row>
    <row r="50" spans="10:21" x14ac:dyDescent="0.2">
      <c r="J50" s="8">
        <v>49</v>
      </c>
      <c r="K50" s="3">
        <v>307.22499999999997</v>
      </c>
      <c r="L50">
        <v>35.723999999999997</v>
      </c>
      <c r="M50" s="2">
        <v>8.4930603123977768</v>
      </c>
      <c r="N50" s="2">
        <f t="shared" si="0"/>
        <v>8.4891628685774378</v>
      </c>
      <c r="O50" s="2">
        <f t="shared" si="1"/>
        <v>3.8974438203389639E-3</v>
      </c>
      <c r="P50" s="2">
        <f t="shared" si="2"/>
        <v>8.489060459662241</v>
      </c>
      <c r="Q50" s="2">
        <f t="shared" si="3"/>
        <v>3.9998527355358249E-3</v>
      </c>
      <c r="R50" s="2">
        <f t="shared" si="4"/>
        <v>8.4888138754445439</v>
      </c>
      <c r="S50" s="2">
        <f t="shared" si="5"/>
        <v>4.2464369532329016E-3</v>
      </c>
      <c r="U50" s="2"/>
    </row>
    <row r="51" spans="10:21" x14ac:dyDescent="0.2">
      <c r="J51" s="8">
        <v>50</v>
      </c>
      <c r="K51" s="3">
        <v>275.14999999999998</v>
      </c>
      <c r="L51">
        <v>45.658000000000001</v>
      </c>
      <c r="M51" s="2">
        <v>8.8384531861899998</v>
      </c>
      <c r="N51" s="2">
        <f t="shared" si="0"/>
        <v>8.8374802101676071</v>
      </c>
      <c r="O51" s="2">
        <f t="shared" si="1"/>
        <v>9.7297602239265757E-4</v>
      </c>
      <c r="P51" s="2">
        <f t="shared" si="2"/>
        <v>8.8373783312297043</v>
      </c>
      <c r="Q51" s="2">
        <f t="shared" si="3"/>
        <v>1.0748549602954682E-3</v>
      </c>
      <c r="R51" s="2">
        <f t="shared" si="4"/>
        <v>8.8370218094715423</v>
      </c>
      <c r="S51" s="2">
        <f t="shared" si="5"/>
        <v>1.4313767184574999E-3</v>
      </c>
      <c r="U51" s="2"/>
    </row>
    <row r="52" spans="10:21" x14ac:dyDescent="0.2">
      <c r="J52" s="8">
        <v>51</v>
      </c>
      <c r="K52">
        <v>283.65999999999997</v>
      </c>
      <c r="L52">
        <v>45.658000000000001</v>
      </c>
      <c r="M52" s="6">
        <v>8.7259645336418661</v>
      </c>
      <c r="N52" s="2">
        <f t="shared" si="0"/>
        <v>8.7265878888276749</v>
      </c>
      <c r="O52" s="2">
        <f t="shared" si="1"/>
        <v>-6.2335518580880489E-4</v>
      </c>
      <c r="P52" s="2">
        <f t="shared" si="2"/>
        <v>8.7264828727396768</v>
      </c>
      <c r="Q52" s="2">
        <f t="shared" si="3"/>
        <v>-5.1833909781073828E-4</v>
      </c>
      <c r="R52" s="2">
        <f t="shared" si="4"/>
        <v>8.7258968739883169</v>
      </c>
      <c r="S52" s="2">
        <f t="shared" si="5"/>
        <v>6.7659653549156928E-5</v>
      </c>
      <c r="U52" s="2"/>
    </row>
    <row r="53" spans="10:21" x14ac:dyDescent="0.2">
      <c r="J53" s="8">
        <v>52</v>
      </c>
      <c r="K53">
        <v>288.45999999999998</v>
      </c>
      <c r="L53">
        <v>45.865000000000002</v>
      </c>
      <c r="M53" s="2">
        <v>8.6652015770473199</v>
      </c>
      <c r="N53" s="2">
        <f t="shared" si="0"/>
        <v>8.6649674982545157</v>
      </c>
      <c r="O53" s="2">
        <f t="shared" si="1"/>
        <v>2.3407879280412658E-4</v>
      </c>
      <c r="P53" s="2">
        <f t="shared" si="2"/>
        <v>8.6648605071488038</v>
      </c>
      <c r="Q53" s="2">
        <f t="shared" si="3"/>
        <v>3.4106989851601099E-4</v>
      </c>
      <c r="R53" s="2">
        <f t="shared" si="4"/>
        <v>8.6642262335688205</v>
      </c>
      <c r="S53" s="2">
        <f t="shared" si="5"/>
        <v>9.7534347849936864E-4</v>
      </c>
      <c r="U53" s="2"/>
    </row>
    <row r="54" spans="10:21" x14ac:dyDescent="0.2">
      <c r="J54" s="8">
        <v>53</v>
      </c>
      <c r="K54">
        <v>293.38</v>
      </c>
      <c r="L54">
        <v>45.865000000000002</v>
      </c>
      <c r="M54" s="2">
        <v>8.6016309523809493</v>
      </c>
      <c r="N54" s="2">
        <f t="shared" si="0"/>
        <v>8.603762417653904</v>
      </c>
      <c r="O54" s="2">
        <f t="shared" si="1"/>
        <v>-2.1314652729547134E-3</v>
      </c>
      <c r="P54" s="2">
        <f t="shared" si="2"/>
        <v>8.6036536090748914</v>
      </c>
      <c r="Q54" s="2">
        <f t="shared" si="3"/>
        <v>-2.022656693942082E-3</v>
      </c>
      <c r="R54" s="2">
        <f t="shared" si="4"/>
        <v>8.6030307331549398</v>
      </c>
      <c r="S54" s="2">
        <f t="shared" si="5"/>
        <v>-1.3997807739904999E-3</v>
      </c>
      <c r="U54" s="2"/>
    </row>
    <row r="55" spans="10:21" x14ac:dyDescent="0.2">
      <c r="J55" s="17">
        <v>54</v>
      </c>
      <c r="K55">
        <v>297.83</v>
      </c>
      <c r="L55">
        <v>45.865000000000002</v>
      </c>
      <c r="M55" s="2">
        <v>8.5493426132522004</v>
      </c>
      <c r="N55" s="2">
        <f t="shared" si="0"/>
        <v>8.5493022830769139</v>
      </c>
      <c r="O55" s="2">
        <f t="shared" si="1"/>
        <v>4.0330175286484859E-5</v>
      </c>
      <c r="P55" s="2">
        <f t="shared" si="2"/>
        <v>8.5491918306853059</v>
      </c>
      <c r="Q55" s="2">
        <f t="shared" si="3"/>
        <v>1.5078256689449177E-4</v>
      </c>
      <c r="R55" s="2">
        <f t="shared" si="4"/>
        <v>8.5486287507022514</v>
      </c>
      <c r="S55" s="2">
        <f t="shared" si="5"/>
        <v>7.1386254994898479E-4</v>
      </c>
      <c r="U55" s="2"/>
    </row>
    <row r="56" spans="10:21" x14ac:dyDescent="0.2">
      <c r="J56" s="8">
        <v>55</v>
      </c>
      <c r="K56">
        <v>302.07</v>
      </c>
      <c r="L56">
        <v>45.865000000000002</v>
      </c>
      <c r="M56" s="2">
        <v>8.4994064415700006</v>
      </c>
      <c r="N56" s="2">
        <f t="shared" si="0"/>
        <v>8.4981313404843046</v>
      </c>
      <c r="O56" s="2">
        <f t="shared" si="1"/>
        <v>1.275101085695951E-3</v>
      </c>
      <c r="P56" s="2">
        <f t="shared" si="2"/>
        <v>8.4980193218877371</v>
      </c>
      <c r="Q56" s="2">
        <f t="shared" si="3"/>
        <v>1.3871196822634602E-3</v>
      </c>
      <c r="R56" s="2">
        <f t="shared" si="4"/>
        <v>8.4975553080265396</v>
      </c>
      <c r="S56" s="2">
        <f t="shared" si="5"/>
        <v>1.8511335434610032E-3</v>
      </c>
      <c r="U56" s="2"/>
    </row>
    <row r="57" spans="10:21" x14ac:dyDescent="0.2">
      <c r="J57" s="8">
        <v>56</v>
      </c>
      <c r="K57">
        <v>307.74</v>
      </c>
      <c r="L57">
        <v>45.865000000000002</v>
      </c>
      <c r="M57" s="2">
        <v>8.4350603123977805</v>
      </c>
      <c r="N57" s="2">
        <f t="shared" si="0"/>
        <v>8.4306886281418123</v>
      </c>
      <c r="O57" s="2">
        <f t="shared" si="1"/>
        <v>4.3716842559682334E-3</v>
      </c>
      <c r="P57" s="2">
        <f t="shared" si="2"/>
        <v>8.430574515166267</v>
      </c>
      <c r="Q57" s="2">
        <f t="shared" si="3"/>
        <v>4.4857972315135441E-3</v>
      </c>
      <c r="R57" s="2">
        <f t="shared" si="4"/>
        <v>8.4303046824504495</v>
      </c>
      <c r="S57" s="2">
        <f t="shared" si="5"/>
        <v>4.7556299473310304E-3</v>
      </c>
      <c r="U57" s="2"/>
    </row>
    <row r="58" spans="10:21" x14ac:dyDescent="0.2">
      <c r="J58" s="8">
        <v>57</v>
      </c>
      <c r="K58">
        <v>273.14999999999998</v>
      </c>
      <c r="L58">
        <v>0</v>
      </c>
      <c r="M58" s="2">
        <v>9.5025585923890397</v>
      </c>
      <c r="N58" s="2">
        <f t="shared" si="0"/>
        <v>9.5018870257539305</v>
      </c>
      <c r="O58" s="2">
        <f t="shared" si="1"/>
        <v>6.7156663510914427E-4</v>
      </c>
      <c r="P58" s="2">
        <f t="shared" si="2"/>
        <v>9.5018751418958729</v>
      </c>
      <c r="Q58" s="2">
        <f t="shared" si="3"/>
        <v>6.8345049316675954E-4</v>
      </c>
      <c r="R58" s="2">
        <f t="shared" si="4"/>
        <v>9.501820617422986</v>
      </c>
      <c r="S58" s="2">
        <f t="shared" si="5"/>
        <v>7.3797496605365609E-4</v>
      </c>
      <c r="U58" s="2"/>
    </row>
    <row r="59" spans="10:21" x14ac:dyDescent="0.2">
      <c r="J59" s="8">
        <v>58</v>
      </c>
      <c r="K59">
        <v>278.14999999999998</v>
      </c>
      <c r="L59">
        <v>0</v>
      </c>
      <c r="M59" s="2">
        <v>9.4387683825509363</v>
      </c>
      <c r="N59" s="2">
        <f t="shared" si="0"/>
        <v>9.4386612950330573</v>
      </c>
      <c r="O59" s="2">
        <f t="shared" si="1"/>
        <v>1.0708751787902315E-4</v>
      </c>
      <c r="P59" s="2">
        <f t="shared" si="2"/>
        <v>9.4386493718146127</v>
      </c>
      <c r="Q59" s="2">
        <f t="shared" si="3"/>
        <v>1.1901073632358816E-4</v>
      </c>
      <c r="R59" s="2">
        <f t="shared" si="4"/>
        <v>9.4386468495759601</v>
      </c>
      <c r="S59" s="2">
        <f t="shared" si="5"/>
        <v>1.2153297497619064E-4</v>
      </c>
      <c r="U59" s="2"/>
    </row>
    <row r="60" spans="10:21" x14ac:dyDescent="0.2">
      <c r="J60" s="8">
        <v>59</v>
      </c>
      <c r="K60">
        <v>283.14999999999998</v>
      </c>
      <c r="L60">
        <v>0</v>
      </c>
      <c r="M60" s="2">
        <v>9.3805996831057872</v>
      </c>
      <c r="N60" s="2">
        <f t="shared" si="0"/>
        <v>9.3808701686393121</v>
      </c>
      <c r="O60" s="2">
        <f t="shared" si="1"/>
        <v>-2.7048553352493343E-4</v>
      </c>
      <c r="P60" s="2">
        <f t="shared" si="2"/>
        <v>9.380858206765204</v>
      </c>
      <c r="Q60" s="2">
        <f t="shared" si="3"/>
        <v>-2.5852365941680944E-4</v>
      </c>
      <c r="R60" s="2">
        <f t="shared" si="4"/>
        <v>9.3808873457262365</v>
      </c>
      <c r="S60" s="2">
        <f t="shared" si="5"/>
        <v>-2.8766262044932489E-4</v>
      </c>
      <c r="U60" s="2"/>
    </row>
    <row r="61" spans="10:21" x14ac:dyDescent="0.2">
      <c r="J61" s="8">
        <v>60</v>
      </c>
      <c r="K61">
        <v>288.14999999999998</v>
      </c>
      <c r="L61">
        <v>0</v>
      </c>
      <c r="M61" s="2">
        <v>9.327701400560402</v>
      </c>
      <c r="N61" s="2">
        <f t="shared" si="0"/>
        <v>9.3281751802890298</v>
      </c>
      <c r="O61" s="2">
        <f t="shared" si="1"/>
        <v>-4.7377972862783224E-4</v>
      </c>
      <c r="P61" s="2">
        <f t="shared" si="2"/>
        <v>9.3281631804392049</v>
      </c>
      <c r="Q61" s="2">
        <f t="shared" si="3"/>
        <v>-4.6177987880291482E-4</v>
      </c>
      <c r="R61" s="2">
        <f t="shared" si="4"/>
        <v>9.328205019567406</v>
      </c>
      <c r="S61" s="2">
        <f t="shared" si="5"/>
        <v>-5.0361900700401918E-4</v>
      </c>
      <c r="U61" s="2"/>
    </row>
    <row r="62" spans="10:21" x14ac:dyDescent="0.2">
      <c r="J62" s="8">
        <v>61</v>
      </c>
      <c r="K62">
        <v>293.14999999999998</v>
      </c>
      <c r="L62">
        <v>0</v>
      </c>
      <c r="M62" s="2">
        <v>9.279748389054344</v>
      </c>
      <c r="N62" s="2">
        <f t="shared" si="0"/>
        <v>9.2802628509885139</v>
      </c>
      <c r="O62" s="2">
        <f t="shared" si="1"/>
        <v>-5.1446193416992969E-4</v>
      </c>
      <c r="P62" s="2">
        <f t="shared" si="2"/>
        <v>9.2802508138193929</v>
      </c>
      <c r="Q62" s="2">
        <f t="shared" si="3"/>
        <v>-5.0242476504891442E-4</v>
      </c>
      <c r="R62" s="2">
        <f t="shared" si="4"/>
        <v>9.2802876669784453</v>
      </c>
      <c r="S62" s="2">
        <f t="shared" si="5"/>
        <v>-5.3927792410135567E-4</v>
      </c>
      <c r="U62" s="2"/>
    </row>
    <row r="63" spans="10:21" x14ac:dyDescent="0.2">
      <c r="J63" s="8">
        <v>62</v>
      </c>
      <c r="K63">
        <v>298.14999999999998</v>
      </c>
      <c r="L63">
        <v>0</v>
      </c>
      <c r="M63" s="2">
        <v>9.236439174278031</v>
      </c>
      <c r="N63" s="2">
        <f t="shared" si="0"/>
        <v>9.2368424984518427</v>
      </c>
      <c r="O63" s="2">
        <f t="shared" si="1"/>
        <v>-4.0332417381172547E-4</v>
      </c>
      <c r="P63" s="2">
        <f t="shared" si="2"/>
        <v>9.2368304245975423</v>
      </c>
      <c r="Q63" s="2">
        <f t="shared" si="3"/>
        <v>-3.9125031951137146E-4</v>
      </c>
      <c r="R63" s="2">
        <f t="shared" si="4"/>
        <v>9.2368457848059649</v>
      </c>
      <c r="S63" s="2">
        <f t="shared" si="5"/>
        <v>-4.0661052793389274E-4</v>
      </c>
      <c r="U63" s="2"/>
    </row>
    <row r="64" spans="10:21" x14ac:dyDescent="0.2">
      <c r="J64" s="8">
        <v>63</v>
      </c>
      <c r="K64">
        <v>303.14999999999998</v>
      </c>
      <c r="L64">
        <v>0</v>
      </c>
      <c r="M64" s="2">
        <v>9.197493909256881</v>
      </c>
      <c r="N64" s="2">
        <f t="shared" si="0"/>
        <v>9.1976442695952656</v>
      </c>
      <c r="O64" s="2">
        <f t="shared" si="1"/>
        <v>-1.5036033838455864E-4</v>
      </c>
      <c r="P64" s="2">
        <f t="shared" si="2"/>
        <v>9.1976321596687285</v>
      </c>
      <c r="Q64" s="2">
        <f t="shared" si="3"/>
        <v>-1.3825041184745146E-4</v>
      </c>
      <c r="R64" s="2">
        <f t="shared" si="4"/>
        <v>9.1976106117598562</v>
      </c>
      <c r="S64" s="2">
        <f t="shared" si="5"/>
        <v>-1.1670250297513007E-4</v>
      </c>
      <c r="U64" s="2"/>
    </row>
    <row r="65" spans="10:21" x14ac:dyDescent="0.2">
      <c r="J65" s="8">
        <v>64</v>
      </c>
      <c r="K65">
        <v>308.14999999999998</v>
      </c>
      <c r="L65">
        <v>0</v>
      </c>
      <c r="M65" s="2">
        <v>9.1626525351283945</v>
      </c>
      <c r="N65" s="2">
        <f t="shared" si="0"/>
        <v>9.1624173702602789</v>
      </c>
      <c r="O65" s="2">
        <f t="shared" si="1"/>
        <v>2.3516486811558934E-4</v>
      </c>
      <c r="P65" s="2">
        <f t="shared" si="2"/>
        <v>9.1624052248542895</v>
      </c>
      <c r="Q65" s="2">
        <f t="shared" si="3"/>
        <v>2.4731027410496154E-4</v>
      </c>
      <c r="R65" s="2">
        <f t="shared" si="4"/>
        <v>9.1623323656869005</v>
      </c>
      <c r="S65" s="2">
        <f t="shared" si="5"/>
        <v>3.201694414940448E-4</v>
      </c>
      <c r="U65" s="2"/>
    </row>
    <row r="66" spans="10:21" x14ac:dyDescent="0.2">
      <c r="J66" s="8">
        <v>65</v>
      </c>
      <c r="K66">
        <v>313.14999999999998</v>
      </c>
      <c r="L66">
        <v>0</v>
      </c>
      <c r="M66" s="2">
        <v>9.1316731235234538</v>
      </c>
      <c r="N66" s="2">
        <f t="shared" si="0"/>
        <v>9.1309284696676301</v>
      </c>
      <c r="O66" s="2">
        <f t="shared" si="1"/>
        <v>7.4465385582378474E-4</v>
      </c>
      <c r="P66" s="2">
        <f t="shared" si="2"/>
        <v>9.1309162893558025</v>
      </c>
      <c r="Q66" s="2">
        <f t="shared" si="3"/>
        <v>7.5683416765137679E-4</v>
      </c>
      <c r="R66" s="2">
        <f t="shared" si="4"/>
        <v>9.1307786548223575</v>
      </c>
      <c r="S66" s="2">
        <f t="shared" si="5"/>
        <v>8.9446870109632926E-4</v>
      </c>
      <c r="U66" s="2"/>
    </row>
    <row r="67" spans="10:21" x14ac:dyDescent="0.2">
      <c r="J67" s="8">
        <v>66</v>
      </c>
      <c r="K67">
        <v>318.14999999999998</v>
      </c>
      <c r="L67">
        <v>0</v>
      </c>
      <c r="M67" s="2">
        <v>9.104330380148129</v>
      </c>
      <c r="N67" s="2">
        <f t="shared" ref="N67:N117" si="6">$B$12+$B$13*1/K67+$B$14*L67^0.5/K67+$B$15*(L67^0.5/(1+L67^0.5))+$B$16*LN(K67)+$B$17*L67^0.5*LN(K67)+$B$18*L67^0.5*K67+$B$19*L67*K67</f>
        <v>9.1029602599763351</v>
      </c>
      <c r="O67" s="2">
        <f t="shared" ref="O67:O117" si="7">M67-N67</f>
        <v>1.3701201717939426E-3</v>
      </c>
      <c r="P67" s="2">
        <f t="shared" ref="P67:P117" si="8">-60.77408+(3740.7185/K67)+(-207.8923*L67^(1/2)/K67)+(-0.0781334*L67^(1/2)/(1+L67^(1/2)))+(10.08574*LN(K67))+(0.313662*L67^(1/2)*LN(K67))+(-0.004088*L67^(1/2)*K67)+(0.000018292*L67*K67)</f>
        <v>9.1029480453140366</v>
      </c>
      <c r="Q67" s="2">
        <f t="shared" ref="Q67:Q117" si="9">M67-P67</f>
        <v>1.3823348340924468E-3</v>
      </c>
      <c r="R67" s="2">
        <f t="shared" ref="R67:R117" si="10">-60.3854+(3723.861/K67)+(-203.2558*L67^(1/2)/K67)+(-0.07809*L67^(1/2)/(1+L67^(1/2)))+(10.027448*LN(K67))+(0.306786*L67^(1/2)*LN(K67))+(-0.004009*L67^(1/2)*K67)+(0.000018283*L67*K67)</f>
        <v>9.1027330434785227</v>
      </c>
      <c r="S67" s="2">
        <f t="shared" ref="S67:S117" si="11">M67-R67</f>
        <v>1.5973366696062641E-3</v>
      </c>
      <c r="U67" s="2"/>
    </row>
    <row r="68" spans="10:21" x14ac:dyDescent="0.2">
      <c r="J68" s="8">
        <v>67</v>
      </c>
      <c r="K68">
        <v>273.14999999999998</v>
      </c>
      <c r="L68">
        <v>5</v>
      </c>
      <c r="M68" s="2">
        <v>9.2104739427559732</v>
      </c>
      <c r="N68" s="2">
        <f t="shared" si="6"/>
        <v>9.2088785435754072</v>
      </c>
      <c r="O68" s="2">
        <f t="shared" si="7"/>
        <v>1.5953991805659484E-3</v>
      </c>
      <c r="P68" s="2">
        <f t="shared" si="8"/>
        <v>9.2088362824132179</v>
      </c>
      <c r="Q68" s="2">
        <f t="shared" si="9"/>
        <v>1.6376603427552539E-3</v>
      </c>
      <c r="R68" s="2">
        <f t="shared" si="10"/>
        <v>9.2087514575582912</v>
      </c>
      <c r="S68" s="2">
        <f t="shared" si="11"/>
        <v>1.7224851976820332E-3</v>
      </c>
      <c r="U68" s="2"/>
    </row>
    <row r="69" spans="10:21" x14ac:dyDescent="0.2">
      <c r="J69" s="8">
        <v>68</v>
      </c>
      <c r="K69">
        <v>278.14999999999998</v>
      </c>
      <c r="L69">
        <v>5</v>
      </c>
      <c r="M69" s="2">
        <v>9.1443308931621079</v>
      </c>
      <c r="N69" s="2">
        <f t="shared" si="6"/>
        <v>9.1437203189114911</v>
      </c>
      <c r="O69" s="2">
        <f t="shared" si="7"/>
        <v>6.1057425061683546E-4</v>
      </c>
      <c r="P69" s="2">
        <f t="shared" si="8"/>
        <v>9.1436774062750796</v>
      </c>
      <c r="Q69" s="2">
        <f t="shared" si="9"/>
        <v>6.5348688702826507E-4</v>
      </c>
      <c r="R69" s="2">
        <f t="shared" si="10"/>
        <v>9.1435664241911656</v>
      </c>
      <c r="S69" s="2">
        <f t="shared" si="11"/>
        <v>7.6446897094228916E-4</v>
      </c>
      <c r="U69" s="2"/>
    </row>
    <row r="70" spans="10:21" x14ac:dyDescent="0.2">
      <c r="J70" s="8">
        <v>69</v>
      </c>
      <c r="K70">
        <v>283.14999999999998</v>
      </c>
      <c r="L70">
        <v>5</v>
      </c>
      <c r="M70" s="2">
        <v>9.0830085123173703</v>
      </c>
      <c r="N70" s="2">
        <f t="shared" si="6"/>
        <v>9.0826895963677217</v>
      </c>
      <c r="O70" s="2">
        <f t="shared" si="7"/>
        <v>3.189159496486127E-4</v>
      </c>
      <c r="P70" s="2">
        <f t="shared" si="8"/>
        <v>9.0826460327470215</v>
      </c>
      <c r="Q70" s="2">
        <f t="shared" si="9"/>
        <v>3.6247957034873934E-4</v>
      </c>
      <c r="R70" s="2">
        <f t="shared" si="10"/>
        <v>9.0825176176376825</v>
      </c>
      <c r="S70" s="2">
        <f t="shared" si="11"/>
        <v>4.9089467968777001E-4</v>
      </c>
      <c r="U70" s="2"/>
    </row>
    <row r="71" spans="10:21" x14ac:dyDescent="0.2">
      <c r="J71" s="8">
        <v>70</v>
      </c>
      <c r="K71">
        <v>288.14999999999998</v>
      </c>
      <c r="L71">
        <v>5</v>
      </c>
      <c r="M71" s="2">
        <v>9.0261593646362339</v>
      </c>
      <c r="N71" s="2">
        <f t="shared" si="6"/>
        <v>9.0255120886920253</v>
      </c>
      <c r="O71" s="2">
        <f t="shared" si="7"/>
        <v>6.4727594420865842E-4</v>
      </c>
      <c r="P71" s="2">
        <f t="shared" si="8"/>
        <v>9.0254678745596948</v>
      </c>
      <c r="Q71" s="2">
        <f t="shared" si="9"/>
        <v>6.914900765391252E-4</v>
      </c>
      <c r="R71" s="2">
        <f t="shared" si="10"/>
        <v>9.025330702304494</v>
      </c>
      <c r="S71" s="2">
        <f t="shared" si="11"/>
        <v>8.2866233173994885E-4</v>
      </c>
      <c r="U71" s="2"/>
    </row>
    <row r="72" spans="10:21" x14ac:dyDescent="0.2">
      <c r="J72" s="8">
        <v>71</v>
      </c>
      <c r="K72">
        <v>293.14999999999998</v>
      </c>
      <c r="L72">
        <v>5</v>
      </c>
      <c r="M72" s="2">
        <v>8.9728714317067038</v>
      </c>
      <c r="N72" s="2">
        <f t="shared" si="6"/>
        <v>8.9719342491645815</v>
      </c>
      <c r="O72" s="2">
        <f t="shared" si="7"/>
        <v>9.3718254212227237E-4</v>
      </c>
      <c r="P72" s="2">
        <f t="shared" si="8"/>
        <v>8.9718893849768815</v>
      </c>
      <c r="Q72" s="2">
        <f t="shared" si="9"/>
        <v>9.8204672982227237E-4</v>
      </c>
      <c r="R72" s="2">
        <f t="shared" si="10"/>
        <v>8.9717520725825644</v>
      </c>
      <c r="S72" s="2">
        <f t="shared" si="11"/>
        <v>1.1193591241394074E-3</v>
      </c>
      <c r="U72" s="2"/>
    </row>
    <row r="73" spans="10:21" x14ac:dyDescent="0.2">
      <c r="J73" s="8">
        <v>72</v>
      </c>
      <c r="K73">
        <v>298.14999999999998</v>
      </c>
      <c r="L73">
        <v>5</v>
      </c>
      <c r="M73" s="2">
        <v>8.9232750018733533</v>
      </c>
      <c r="N73" s="2">
        <f t="shared" si="6"/>
        <v>8.9217214304747365</v>
      </c>
      <c r="O73" s="2">
        <f t="shared" si="7"/>
        <v>1.5535713986167821E-3</v>
      </c>
      <c r="P73" s="2">
        <f t="shared" si="8"/>
        <v>8.9216759166723758</v>
      </c>
      <c r="Q73" s="2">
        <f t="shared" si="9"/>
        <v>1.5990852009775125E-3</v>
      </c>
      <c r="R73" s="2">
        <f t="shared" si="10"/>
        <v>8.9215470133052737</v>
      </c>
      <c r="S73" s="2">
        <f t="shared" si="11"/>
        <v>1.7279885680796525E-3</v>
      </c>
      <c r="U73" s="2"/>
    </row>
    <row r="74" spans="10:21" x14ac:dyDescent="0.2">
      <c r="J74" s="8">
        <v>73</v>
      </c>
      <c r="K74">
        <v>303.14999999999998</v>
      </c>
      <c r="L74">
        <v>5</v>
      </c>
      <c r="M74" s="2">
        <v>8.8765014861723746</v>
      </c>
      <c r="N74" s="2">
        <f t="shared" si="6"/>
        <v>8.8746562325293894</v>
      </c>
      <c r="O74" s="2">
        <f t="shared" si="7"/>
        <v>1.8452536429851563E-3</v>
      </c>
      <c r="P74" s="2">
        <f t="shared" si="8"/>
        <v>8.8746100695383223</v>
      </c>
      <c r="Q74" s="2">
        <f t="shared" si="9"/>
        <v>1.8914166340522343E-3</v>
      </c>
      <c r="R74" s="2">
        <f t="shared" si="10"/>
        <v>8.8744980489355232</v>
      </c>
      <c r="S74" s="2">
        <f t="shared" si="11"/>
        <v>2.0034372368513687E-3</v>
      </c>
      <c r="U74" s="2"/>
    </row>
    <row r="75" spans="10:21" x14ac:dyDescent="0.2">
      <c r="J75" s="8">
        <v>74</v>
      </c>
      <c r="K75">
        <v>308.14999999999998</v>
      </c>
      <c r="L75">
        <v>5</v>
      </c>
      <c r="M75" s="2">
        <v>8.8322034490182428</v>
      </c>
      <c r="N75" s="2">
        <f t="shared" si="6"/>
        <v>8.8305370171877122</v>
      </c>
      <c r="O75" s="2">
        <f t="shared" si="7"/>
        <v>1.6664318305306125E-3</v>
      </c>
      <c r="P75" s="2">
        <f t="shared" si="8"/>
        <v>8.8304902054198511</v>
      </c>
      <c r="Q75" s="2">
        <f t="shared" si="9"/>
        <v>1.713243598391756E-3</v>
      </c>
      <c r="R75" s="2">
        <f t="shared" si="10"/>
        <v>8.8304034595034544</v>
      </c>
      <c r="S75" s="2">
        <f t="shared" si="11"/>
        <v>1.7999895147884359E-3</v>
      </c>
      <c r="U75" s="2"/>
    </row>
    <row r="76" spans="10:21" x14ac:dyDescent="0.2">
      <c r="J76" s="8">
        <v>75</v>
      </c>
      <c r="K76">
        <v>313.14999999999998</v>
      </c>
      <c r="L76">
        <v>5</v>
      </c>
      <c r="M76" s="2">
        <v>8.7895991603435313</v>
      </c>
      <c r="N76" s="2">
        <f t="shared" si="6"/>
        <v>8.7891765707797429</v>
      </c>
      <c r="O76" s="2">
        <f t="shared" si="7"/>
        <v>4.2258956378837809E-4</v>
      </c>
      <c r="P76" s="2">
        <f t="shared" si="8"/>
        <v>8.7891291106336524</v>
      </c>
      <c r="Q76" s="2">
        <f t="shared" si="9"/>
        <v>4.7004970987885031E-4</v>
      </c>
      <c r="R76" s="2">
        <f t="shared" si="10"/>
        <v>8.7890759441753197</v>
      </c>
      <c r="S76" s="2">
        <f t="shared" si="11"/>
        <v>5.2321616821160433E-4</v>
      </c>
      <c r="U76" s="2"/>
    </row>
    <row r="77" spans="10:21" x14ac:dyDescent="0.2">
      <c r="J77" s="8">
        <v>76</v>
      </c>
      <c r="K77">
        <v>318.14999999999998</v>
      </c>
      <c r="L77">
        <v>5</v>
      </c>
      <c r="M77" s="2">
        <v>8.7489057673891981</v>
      </c>
      <c r="N77" s="2">
        <f t="shared" si="6"/>
        <v>8.7504008977193273</v>
      </c>
      <c r="O77" s="2">
        <f t="shared" si="7"/>
        <v>-1.4951303301291574E-3</v>
      </c>
      <c r="P77" s="2">
        <f t="shared" si="8"/>
        <v>8.7503527895808428</v>
      </c>
      <c r="Q77" s="2">
        <f t="shared" si="9"/>
        <v>-1.4470221916447201E-3</v>
      </c>
      <c r="R77" s="2">
        <f t="shared" si="10"/>
        <v>8.7503414157835167</v>
      </c>
      <c r="S77" s="2">
        <f t="shared" si="11"/>
        <v>-1.4356483943185339E-3</v>
      </c>
      <c r="U77" s="2"/>
    </row>
    <row r="78" spans="10:21" x14ac:dyDescent="0.2">
      <c r="J78" s="8">
        <v>77</v>
      </c>
      <c r="K78">
        <v>273.14999999999998</v>
      </c>
      <c r="L78">
        <v>15</v>
      </c>
      <c r="M78" s="2">
        <v>9.0580365796079327</v>
      </c>
      <c r="N78" s="2">
        <f t="shared" si="6"/>
        <v>9.0574692333376792</v>
      </c>
      <c r="O78" s="2">
        <f t="shared" si="7"/>
        <v>5.6734627025356588E-4</v>
      </c>
      <c r="P78" s="2">
        <f t="shared" si="8"/>
        <v>9.0574052654138111</v>
      </c>
      <c r="Q78" s="2">
        <f t="shared" si="9"/>
        <v>6.3131419412165712E-4</v>
      </c>
      <c r="R78" s="2">
        <f t="shared" si="10"/>
        <v>9.0572652256898785</v>
      </c>
      <c r="S78" s="2">
        <f t="shared" si="11"/>
        <v>7.7135391805427389E-4</v>
      </c>
      <c r="U78" s="2"/>
    </row>
    <row r="79" spans="10:21" x14ac:dyDescent="0.2">
      <c r="J79" s="8">
        <v>78</v>
      </c>
      <c r="K79">
        <v>278.14999999999998</v>
      </c>
      <c r="L79">
        <v>15</v>
      </c>
      <c r="M79" s="2">
        <v>8.9911986588430217</v>
      </c>
      <c r="N79" s="2">
        <f t="shared" si="6"/>
        <v>8.9914761485782009</v>
      </c>
      <c r="O79" s="2">
        <f t="shared" si="7"/>
        <v>-2.7748973517915942E-4</v>
      </c>
      <c r="P79" s="2">
        <f t="shared" si="8"/>
        <v>8.9914110905913187</v>
      </c>
      <c r="Q79" s="2">
        <f t="shared" si="9"/>
        <v>-2.1243174829699285E-4</v>
      </c>
      <c r="R79" s="2">
        <f t="shared" si="10"/>
        <v>8.991187391651664</v>
      </c>
      <c r="S79" s="2">
        <f t="shared" si="11"/>
        <v>1.1267191357688944E-5</v>
      </c>
      <c r="U79" s="2"/>
    </row>
    <row r="80" spans="10:21" x14ac:dyDescent="0.2">
      <c r="J80" s="8">
        <v>79</v>
      </c>
      <c r="K80">
        <v>283.14999999999998</v>
      </c>
      <c r="L80">
        <v>15</v>
      </c>
      <c r="M80" s="2">
        <v>8.9279219528297187</v>
      </c>
      <c r="N80" s="2">
        <f t="shared" si="6"/>
        <v>8.9286537007127009</v>
      </c>
      <c r="O80" s="2">
        <f t="shared" si="7"/>
        <v>-7.3174788298224769E-4</v>
      </c>
      <c r="P80" s="2">
        <f t="shared" si="8"/>
        <v>8.928587552995479</v>
      </c>
      <c r="Q80" s="2">
        <f t="shared" si="9"/>
        <v>-6.6560016576033831E-4</v>
      </c>
      <c r="R80" s="2">
        <f t="shared" si="10"/>
        <v>8.9283101962746905</v>
      </c>
      <c r="S80" s="2">
        <f t="shared" si="11"/>
        <v>-3.8824344497179197E-4</v>
      </c>
      <c r="U80" s="2"/>
    </row>
    <row r="81" spans="10:21" x14ac:dyDescent="0.2">
      <c r="J81" s="8">
        <v>80</v>
      </c>
      <c r="K81">
        <v>288.14999999999998</v>
      </c>
      <c r="L81">
        <v>15</v>
      </c>
      <c r="M81" s="2">
        <v>8.8682498910162124</v>
      </c>
      <c r="N81" s="2">
        <f t="shared" si="6"/>
        <v>8.8687745848009687</v>
      </c>
      <c r="O81" s="2">
        <f t="shared" si="7"/>
        <v>-5.2469378475628048E-4</v>
      </c>
      <c r="P81" s="2">
        <f t="shared" si="8"/>
        <v>8.8687073476743272</v>
      </c>
      <c r="Q81" s="2">
        <f t="shared" si="9"/>
        <v>-4.5745665811480762E-4</v>
      </c>
      <c r="R81" s="2">
        <f t="shared" si="10"/>
        <v>8.8684052406757772</v>
      </c>
      <c r="S81" s="2">
        <f t="shared" si="11"/>
        <v>-1.5534965956476299E-4</v>
      </c>
      <c r="U81" s="2"/>
    </row>
    <row r="82" spans="10:21" x14ac:dyDescent="0.2">
      <c r="J82" s="8">
        <v>81</v>
      </c>
      <c r="K82">
        <v>293.14999999999998</v>
      </c>
      <c r="L82">
        <v>15</v>
      </c>
      <c r="M82" s="2">
        <v>8.8115310316796478</v>
      </c>
      <c r="N82" s="2">
        <f t="shared" si="6"/>
        <v>8.8116291275926919</v>
      </c>
      <c r="O82" s="2">
        <f t="shared" si="7"/>
        <v>-9.8095913044105032E-5</v>
      </c>
      <c r="P82" s="2">
        <f t="shared" si="8"/>
        <v>8.8115608013663564</v>
      </c>
      <c r="Q82" s="2">
        <f t="shared" si="9"/>
        <v>-2.9769686708647214E-5</v>
      </c>
      <c r="R82" s="2">
        <f t="shared" si="10"/>
        <v>8.8112618163339125</v>
      </c>
      <c r="S82" s="2">
        <f t="shared" si="11"/>
        <v>2.6921534573531858E-4</v>
      </c>
      <c r="U82" s="2"/>
    </row>
    <row r="83" spans="10:21" x14ac:dyDescent="0.2">
      <c r="J83" s="8">
        <v>82</v>
      </c>
      <c r="K83">
        <v>298.14999999999998</v>
      </c>
      <c r="L83">
        <v>15</v>
      </c>
      <c r="M83" s="2">
        <v>8.7573310803381208</v>
      </c>
      <c r="N83" s="2">
        <f t="shared" si="6"/>
        <v>8.7570237022261175</v>
      </c>
      <c r="O83" s="2">
        <f t="shared" si="7"/>
        <v>3.0737811200332033E-4</v>
      </c>
      <c r="P83" s="2">
        <f t="shared" si="8"/>
        <v>8.7569542871992141</v>
      </c>
      <c r="Q83" s="2">
        <f t="shared" si="9"/>
        <v>3.7679313890670585E-4</v>
      </c>
      <c r="R83" s="2">
        <f t="shared" si="10"/>
        <v>8.7566853156724456</v>
      </c>
      <c r="S83" s="2">
        <f t="shared" si="11"/>
        <v>6.4576466567523028E-4</v>
      </c>
      <c r="U83" s="2"/>
    </row>
    <row r="84" spans="10:21" x14ac:dyDescent="0.2">
      <c r="J84" s="8">
        <v>83</v>
      </c>
      <c r="K84">
        <v>303.14999999999998</v>
      </c>
      <c r="L84">
        <v>15</v>
      </c>
      <c r="M84" s="2">
        <v>8.7052591719579215</v>
      </c>
      <c r="N84" s="2">
        <f t="shared" si="6"/>
        <v>8.7047793068622941</v>
      </c>
      <c r="O84" s="2">
        <f t="shared" si="7"/>
        <v>4.7986509562747415E-4</v>
      </c>
      <c r="P84" s="2">
        <f t="shared" si="8"/>
        <v>8.7047088033239017</v>
      </c>
      <c r="Q84" s="2">
        <f t="shared" si="9"/>
        <v>5.503686340198044E-4</v>
      </c>
      <c r="R84" s="2">
        <f t="shared" si="10"/>
        <v>8.70449580693119</v>
      </c>
      <c r="S84" s="2">
        <f t="shared" si="11"/>
        <v>7.6336502673157725E-4</v>
      </c>
      <c r="U84" s="2"/>
    </row>
    <row r="85" spans="10:21" x14ac:dyDescent="0.2">
      <c r="J85" s="8">
        <v>84</v>
      </c>
      <c r="K85">
        <v>308.14999999999998</v>
      </c>
      <c r="L85">
        <v>15</v>
      </c>
      <c r="M85" s="2">
        <v>8.6547507237125743</v>
      </c>
      <c r="N85" s="2">
        <f t="shared" si="6"/>
        <v>8.6547302880628365</v>
      </c>
      <c r="O85" s="2">
        <f t="shared" si="7"/>
        <v>2.0435649737748918E-5</v>
      </c>
      <c r="P85" s="2">
        <f t="shared" si="8"/>
        <v>8.6546586962924561</v>
      </c>
      <c r="Q85" s="2">
        <f t="shared" si="9"/>
        <v>9.2027420118157011E-5</v>
      </c>
      <c r="R85" s="2">
        <f t="shared" si="10"/>
        <v>8.6545267541004076</v>
      </c>
      <c r="S85" s="2">
        <f t="shared" si="11"/>
        <v>2.2396961216664124E-4</v>
      </c>
      <c r="U85" s="2"/>
    </row>
    <row r="86" spans="10:21" x14ac:dyDescent="0.2">
      <c r="J86" s="8">
        <v>85</v>
      </c>
      <c r="K86">
        <v>313.14999999999998</v>
      </c>
      <c r="L86">
        <v>15</v>
      </c>
      <c r="M86" s="2">
        <v>8.6058925944984566</v>
      </c>
      <c r="N86" s="2">
        <f t="shared" si="6"/>
        <v>8.6067231922248961</v>
      </c>
      <c r="O86" s="2">
        <f t="shared" si="7"/>
        <v>-8.3059772643956364E-4</v>
      </c>
      <c r="P86" s="2">
        <f t="shared" si="8"/>
        <v>8.6066505124929353</v>
      </c>
      <c r="Q86" s="2">
        <f t="shared" si="9"/>
        <v>-7.5791799447877395E-4</v>
      </c>
      <c r="R86" s="2">
        <f t="shared" si="10"/>
        <v>8.6066238651988023</v>
      </c>
      <c r="S86" s="2">
        <f t="shared" si="11"/>
        <v>-7.3127070034573194E-4</v>
      </c>
      <c r="U86" s="2"/>
    </row>
    <row r="87" spans="10:21" x14ac:dyDescent="0.2">
      <c r="J87" s="8">
        <v>86</v>
      </c>
      <c r="K87">
        <v>318.14999999999998</v>
      </c>
      <c r="L87">
        <v>15</v>
      </c>
      <c r="M87" s="2">
        <v>8.5579899131445298</v>
      </c>
      <c r="N87" s="2">
        <f t="shared" si="6"/>
        <v>8.5606157305334136</v>
      </c>
      <c r="O87" s="2">
        <f t="shared" si="7"/>
        <v>-2.6258173888837888E-3</v>
      </c>
      <c r="P87" s="2">
        <f t="shared" si="8"/>
        <v>8.5605419631016204</v>
      </c>
      <c r="Q87" s="2">
        <f t="shared" si="9"/>
        <v>-2.5520499570905741E-3</v>
      </c>
      <c r="R87" s="2">
        <f t="shared" si="10"/>
        <v>8.5606440543271294</v>
      </c>
      <c r="S87" s="2">
        <f t="shared" si="11"/>
        <v>-2.6541411825995453E-3</v>
      </c>
      <c r="U87" s="2"/>
    </row>
    <row r="88" spans="10:21" x14ac:dyDescent="0.2">
      <c r="J88" s="8">
        <v>87</v>
      </c>
      <c r="K88">
        <v>273.14999999999998</v>
      </c>
      <c r="L88">
        <v>25</v>
      </c>
      <c r="M88" s="2">
        <v>8.9755640574945055</v>
      </c>
      <c r="N88" s="2">
        <f t="shared" si="6"/>
        <v>8.9713599405583455</v>
      </c>
      <c r="O88" s="2">
        <f t="shared" si="7"/>
        <v>4.2041169361599628E-3</v>
      </c>
      <c r="P88" s="2">
        <f t="shared" si="8"/>
        <v>8.9712812837202272</v>
      </c>
      <c r="Q88" s="2">
        <f t="shared" si="9"/>
        <v>4.2827737742783256E-3</v>
      </c>
      <c r="R88" s="2">
        <f t="shared" si="10"/>
        <v>8.9710941419508092</v>
      </c>
      <c r="S88" s="2">
        <f t="shared" si="11"/>
        <v>4.4699155436962457E-3</v>
      </c>
      <c r="U88" s="2"/>
    </row>
    <row r="89" spans="10:21" x14ac:dyDescent="0.2">
      <c r="J89" s="8">
        <v>88</v>
      </c>
      <c r="K89">
        <v>278.14999999999998</v>
      </c>
      <c r="L89">
        <v>25</v>
      </c>
      <c r="M89" s="2">
        <v>8.9075969710766447</v>
      </c>
      <c r="N89" s="2">
        <f t="shared" si="6"/>
        <v>8.9050769473991132</v>
      </c>
      <c r="O89" s="2">
        <f t="shared" si="7"/>
        <v>2.5200236775315688E-3</v>
      </c>
      <c r="P89" s="2">
        <f t="shared" si="8"/>
        <v>8.9049969032019565</v>
      </c>
      <c r="Q89" s="2">
        <f t="shared" si="9"/>
        <v>2.60006787468825E-3</v>
      </c>
      <c r="R89" s="2">
        <f t="shared" si="10"/>
        <v>8.9046863719092268</v>
      </c>
      <c r="S89" s="2">
        <f t="shared" si="11"/>
        <v>2.9105991674178711E-3</v>
      </c>
      <c r="U89" s="2"/>
    </row>
    <row r="90" spans="10:21" x14ac:dyDescent="0.2">
      <c r="J90" s="8">
        <v>89</v>
      </c>
      <c r="K90">
        <v>283.14999999999998</v>
      </c>
      <c r="L90">
        <v>25</v>
      </c>
      <c r="M90" s="2">
        <v>8.842930522721252</v>
      </c>
      <c r="N90" s="2">
        <f t="shared" si="6"/>
        <v>8.8413057891786746</v>
      </c>
      <c r="O90" s="2">
        <f t="shared" si="7"/>
        <v>1.6247335425774168E-3</v>
      </c>
      <c r="P90" s="2">
        <f t="shared" si="8"/>
        <v>8.8412243578469134</v>
      </c>
      <c r="Q90" s="2">
        <f t="shared" si="9"/>
        <v>1.7061648743386115E-3</v>
      </c>
      <c r="R90" s="2">
        <f t="shared" si="10"/>
        <v>8.8408350878445123</v>
      </c>
      <c r="S90" s="2">
        <f t="shared" si="11"/>
        <v>2.095434876739688E-3</v>
      </c>
      <c r="U90" s="2"/>
    </row>
    <row r="91" spans="10:21" x14ac:dyDescent="0.2">
      <c r="J91" s="8">
        <v>90</v>
      </c>
      <c r="K91">
        <v>288.14999999999998</v>
      </c>
      <c r="L91">
        <v>25</v>
      </c>
      <c r="M91" s="2">
        <v>8.7819555774620355</v>
      </c>
      <c r="N91" s="2">
        <f t="shared" si="6"/>
        <v>8.7798515082907045</v>
      </c>
      <c r="O91" s="2">
        <f t="shared" si="7"/>
        <v>2.1040691713309911E-3</v>
      </c>
      <c r="P91" s="2">
        <f t="shared" si="8"/>
        <v>8.7797686900407772</v>
      </c>
      <c r="Q91" s="2">
        <f t="shared" si="9"/>
        <v>2.1868874212582767E-3</v>
      </c>
      <c r="R91" s="2">
        <f t="shared" si="10"/>
        <v>8.7793435183102932</v>
      </c>
      <c r="S91" s="2">
        <f t="shared" si="11"/>
        <v>2.6120591517422298E-3</v>
      </c>
      <c r="U91" s="2"/>
    </row>
    <row r="92" spans="10:21" x14ac:dyDescent="0.2">
      <c r="J92" s="8">
        <v>91</v>
      </c>
      <c r="K92">
        <v>293.14999999999998</v>
      </c>
      <c r="L92">
        <v>25</v>
      </c>
      <c r="M92" s="2">
        <v>8.7231955340605261</v>
      </c>
      <c r="N92" s="2">
        <f t="shared" si="6"/>
        <v>8.7205346383799593</v>
      </c>
      <c r="O92" s="2">
        <f t="shared" si="7"/>
        <v>2.6608956805667106E-3</v>
      </c>
      <c r="P92" s="2">
        <f t="shared" si="8"/>
        <v>8.7204504334207087</v>
      </c>
      <c r="Q92" s="2">
        <f t="shared" si="9"/>
        <v>2.7451006398173661E-3</v>
      </c>
      <c r="R92" s="2">
        <f t="shared" si="10"/>
        <v>8.7200304894417187</v>
      </c>
      <c r="S92" s="2">
        <f t="shared" si="11"/>
        <v>3.1650446188074E-3</v>
      </c>
      <c r="U92" s="2"/>
    </row>
    <row r="93" spans="10:21" x14ac:dyDescent="0.2">
      <c r="J93" s="8">
        <v>92</v>
      </c>
      <c r="K93">
        <v>298.14999999999998</v>
      </c>
      <c r="L93">
        <v>25</v>
      </c>
      <c r="M93" s="2">
        <v>8.6665635336203408</v>
      </c>
      <c r="N93" s="2">
        <f t="shared" si="6"/>
        <v>8.6631897951743344</v>
      </c>
      <c r="O93" s="2">
        <f t="shared" si="7"/>
        <v>3.3737384460064135E-3</v>
      </c>
      <c r="P93" s="2">
        <f t="shared" si="8"/>
        <v>8.6631042037073982</v>
      </c>
      <c r="Q93" s="2">
        <f t="shared" si="9"/>
        <v>3.4593299129426214E-3</v>
      </c>
      <c r="R93" s="2">
        <f t="shared" si="10"/>
        <v>8.6627290077482044</v>
      </c>
      <c r="S93" s="2">
        <f t="shared" si="11"/>
        <v>3.8345258721363962E-3</v>
      </c>
      <c r="U93" s="2"/>
    </row>
    <row r="94" spans="10:21" x14ac:dyDescent="0.2">
      <c r="J94" s="8">
        <v>93</v>
      </c>
      <c r="K94">
        <v>303.14999999999998</v>
      </c>
      <c r="L94">
        <v>25</v>
      </c>
      <c r="M94" s="2">
        <v>8.6112344166258676</v>
      </c>
      <c r="N94" s="2">
        <f t="shared" si="6"/>
        <v>8.6076644140427732</v>
      </c>
      <c r="O94" s="2">
        <f t="shared" si="7"/>
        <v>3.5700025830944782E-3</v>
      </c>
      <c r="P94" s="2">
        <f t="shared" si="8"/>
        <v>8.6075774362629911</v>
      </c>
      <c r="Q94" s="2">
        <f t="shared" si="9"/>
        <v>3.6569803628765385E-3</v>
      </c>
      <c r="R94" s="2">
        <f t="shared" si="10"/>
        <v>8.607284990369628</v>
      </c>
      <c r="S94" s="2">
        <f t="shared" si="11"/>
        <v>3.9494262562396187E-3</v>
      </c>
      <c r="U94" s="2"/>
    </row>
    <row r="95" spans="10:21" x14ac:dyDescent="0.2">
      <c r="J95" s="8">
        <v>94</v>
      </c>
      <c r="K95">
        <v>308.14999999999998</v>
      </c>
      <c r="L95">
        <v>25</v>
      </c>
      <c r="M95" s="2">
        <v>8.5572516125252918</v>
      </c>
      <c r="N95" s="2">
        <f t="shared" si="6"/>
        <v>8.5538176170238032</v>
      </c>
      <c r="O95" s="2">
        <f t="shared" si="7"/>
        <v>3.4339955014885959E-3</v>
      </c>
      <c r="P95" s="2">
        <f t="shared" si="8"/>
        <v>8.5537292531195259</v>
      </c>
      <c r="Q95" s="2">
        <f t="shared" si="9"/>
        <v>3.5223594057658403E-3</v>
      </c>
      <c r="R95" s="2">
        <f t="shared" si="10"/>
        <v>8.5535561254618955</v>
      </c>
      <c r="S95" s="2">
        <f t="shared" si="11"/>
        <v>3.6954870633962855E-3</v>
      </c>
      <c r="U95" s="2"/>
    </row>
    <row r="96" spans="10:21" x14ac:dyDescent="0.2">
      <c r="J96" s="8">
        <v>95</v>
      </c>
      <c r="K96">
        <v>313.14999999999998</v>
      </c>
      <c r="L96">
        <v>25</v>
      </c>
      <c r="M96" s="2">
        <v>8.5040939679403351</v>
      </c>
      <c r="N96" s="2">
        <f t="shared" si="6"/>
        <v>8.5015191943295054</v>
      </c>
      <c r="O96" s="2">
        <f t="shared" si="7"/>
        <v>2.5747736108296948E-3</v>
      </c>
      <c r="P96" s="2">
        <f t="shared" si="8"/>
        <v>8.5014294444828966</v>
      </c>
      <c r="Q96" s="2">
        <f t="shared" si="9"/>
        <v>2.6645234574385057E-3</v>
      </c>
      <c r="R96" s="2">
        <f t="shared" si="10"/>
        <v>8.5014108476471471</v>
      </c>
      <c r="S96" s="2">
        <f t="shared" si="11"/>
        <v>2.6831202931880682E-3</v>
      </c>
      <c r="U96" s="2"/>
    </row>
    <row r="97" spans="10:21" x14ac:dyDescent="0.2">
      <c r="J97" s="8">
        <v>96</v>
      </c>
      <c r="K97">
        <v>318.14999999999998</v>
      </c>
      <c r="L97">
        <v>25</v>
      </c>
      <c r="M97" s="2">
        <v>8.4514140472854695</v>
      </c>
      <c r="N97" s="2">
        <f t="shared" si="6"/>
        <v>8.4506486872649003</v>
      </c>
      <c r="O97" s="2">
        <f t="shared" si="7"/>
        <v>7.6536002056926122E-4</v>
      </c>
      <c r="P97" s="2">
        <f t="shared" si="8"/>
        <v>8.4505575516522722</v>
      </c>
      <c r="Q97" s="2">
        <f t="shared" si="9"/>
        <v>8.5649563319734057E-4</v>
      </c>
      <c r="R97" s="2">
        <f t="shared" si="10"/>
        <v>8.4507274154073944</v>
      </c>
      <c r="S97" s="2">
        <f t="shared" si="11"/>
        <v>6.8663187807516124E-4</v>
      </c>
      <c r="U97" s="2"/>
    </row>
    <row r="98" spans="10:21" x14ac:dyDescent="0.2">
      <c r="J98" s="8">
        <v>97</v>
      </c>
      <c r="K98">
        <v>273.14999999999998</v>
      </c>
      <c r="L98">
        <v>35</v>
      </c>
      <c r="M98" s="2">
        <v>8.9108107502427316</v>
      </c>
      <c r="N98" s="2">
        <f t="shared" si="6"/>
        <v>8.9114418093732954</v>
      </c>
      <c r="O98" s="2">
        <f t="shared" si="7"/>
        <v>-6.310591305638269E-4</v>
      </c>
      <c r="P98" s="2">
        <f t="shared" si="8"/>
        <v>8.911351366491191</v>
      </c>
      <c r="Q98" s="2">
        <f t="shared" si="9"/>
        <v>-5.4061624845935796E-4</v>
      </c>
      <c r="R98" s="2">
        <f t="shared" si="10"/>
        <v>8.9111209356322423</v>
      </c>
      <c r="S98" s="2">
        <f t="shared" si="11"/>
        <v>-3.1018538951066432E-4</v>
      </c>
      <c r="U98" s="2"/>
    </row>
    <row r="99" spans="10:21" x14ac:dyDescent="0.2">
      <c r="J99" s="8">
        <v>98</v>
      </c>
      <c r="K99">
        <v>278.14999999999998</v>
      </c>
      <c r="L99">
        <v>35</v>
      </c>
      <c r="M99" s="2">
        <v>8.8418013570683041</v>
      </c>
      <c r="N99" s="2">
        <f t="shared" si="6"/>
        <v>8.8450943455375679</v>
      </c>
      <c r="O99" s="2">
        <f t="shared" si="7"/>
        <v>-3.2929884692638467E-3</v>
      </c>
      <c r="P99" s="2">
        <f t="shared" si="8"/>
        <v>8.8450022764509626</v>
      </c>
      <c r="Q99" s="2">
        <f t="shared" si="9"/>
        <v>-3.2009193826585403E-3</v>
      </c>
      <c r="R99" s="2">
        <f t="shared" si="10"/>
        <v>8.8446160776180083</v>
      </c>
      <c r="S99" s="2">
        <f t="shared" si="11"/>
        <v>-2.8147205497042194E-3</v>
      </c>
      <c r="U99" s="2"/>
    </row>
    <row r="100" spans="10:21" x14ac:dyDescent="0.2">
      <c r="J100" s="8">
        <v>99</v>
      </c>
      <c r="K100">
        <v>283.14999999999998</v>
      </c>
      <c r="L100">
        <v>35</v>
      </c>
      <c r="M100" s="2">
        <v>8.7766571847828168</v>
      </c>
      <c r="N100" s="2">
        <f t="shared" si="6"/>
        <v>8.7807232186511754</v>
      </c>
      <c r="O100" s="2">
        <f t="shared" si="7"/>
        <v>-4.0660338683586872E-3</v>
      </c>
      <c r="P100" s="2">
        <f t="shared" si="8"/>
        <v>8.7806295234965095</v>
      </c>
      <c r="Q100" s="2">
        <f t="shared" si="9"/>
        <v>-3.9723387136927357E-3</v>
      </c>
      <c r="R100" s="2">
        <f t="shared" si="10"/>
        <v>8.7801441150468325</v>
      </c>
      <c r="S100" s="2">
        <f t="shared" si="11"/>
        <v>-3.4869302640156974E-3</v>
      </c>
      <c r="U100" s="2"/>
    </row>
    <row r="101" spans="10:21" x14ac:dyDescent="0.2">
      <c r="J101" s="8">
        <v>100</v>
      </c>
      <c r="K101">
        <v>288.14999999999998</v>
      </c>
      <c r="L101">
        <v>35</v>
      </c>
      <c r="M101" s="2">
        <v>8.713814773251416</v>
      </c>
      <c r="N101" s="2">
        <f t="shared" si="6"/>
        <v>8.7181597641873854</v>
      </c>
      <c r="O101" s="2">
        <f t="shared" si="7"/>
        <v>-4.3449909359694061E-3</v>
      </c>
      <c r="P101" s="2">
        <f t="shared" si="8"/>
        <v>8.7180644430961749</v>
      </c>
      <c r="Q101" s="2">
        <f t="shared" si="9"/>
        <v>-4.2496698447589409E-3</v>
      </c>
      <c r="R101" s="2">
        <f t="shared" si="10"/>
        <v>8.7175339843936328</v>
      </c>
      <c r="S101" s="2">
        <f t="shared" si="11"/>
        <v>-3.7192111422168495E-3</v>
      </c>
      <c r="U101" s="2"/>
    </row>
    <row r="102" spans="10:21" x14ac:dyDescent="0.2">
      <c r="J102" s="8">
        <v>101</v>
      </c>
      <c r="K102">
        <v>293.14999999999998</v>
      </c>
      <c r="L102">
        <v>35</v>
      </c>
      <c r="M102" s="2">
        <v>8.6538387053005774</v>
      </c>
      <c r="N102" s="2">
        <f t="shared" si="6"/>
        <v>8.657249069044715</v>
      </c>
      <c r="O102" s="2">
        <f t="shared" si="7"/>
        <v>-3.4103637441376122E-3</v>
      </c>
      <c r="P102" s="2">
        <f t="shared" si="8"/>
        <v>8.6571521221437866</v>
      </c>
      <c r="Q102" s="2">
        <f t="shared" si="9"/>
        <v>-3.3134168432091826E-3</v>
      </c>
      <c r="R102" s="2">
        <f t="shared" si="10"/>
        <v>8.6566285186273024</v>
      </c>
      <c r="S102" s="2">
        <f t="shared" si="11"/>
        <v>-2.7898133267250103E-3</v>
      </c>
      <c r="U102" s="2"/>
    </row>
    <row r="103" spans="10:21" x14ac:dyDescent="0.2">
      <c r="J103" s="8">
        <v>102</v>
      </c>
      <c r="K103">
        <v>298.14999999999998</v>
      </c>
      <c r="L103">
        <v>35</v>
      </c>
      <c r="M103" s="2">
        <v>8.5949483735544963</v>
      </c>
      <c r="N103" s="2">
        <f t="shared" si="6"/>
        <v>8.5978487055465163</v>
      </c>
      <c r="O103" s="2">
        <f t="shared" si="7"/>
        <v>-2.9003319920199999E-3</v>
      </c>
      <c r="P103" s="2">
        <f t="shared" si="8"/>
        <v>8.5977501329582893</v>
      </c>
      <c r="Q103" s="2">
        <f t="shared" si="9"/>
        <v>-2.8017594037930138E-3</v>
      </c>
      <c r="R103" s="2">
        <f t="shared" si="10"/>
        <v>8.59728316998231</v>
      </c>
      <c r="S103" s="2">
        <f t="shared" si="11"/>
        <v>-2.3347964278137567E-3</v>
      </c>
      <c r="U103" s="2"/>
    </row>
    <row r="104" spans="10:21" x14ac:dyDescent="0.2">
      <c r="J104" s="8">
        <v>103</v>
      </c>
      <c r="K104">
        <v>303.14999999999998</v>
      </c>
      <c r="L104">
        <v>35</v>
      </c>
      <c r="M104" s="2">
        <v>8.5373174958059348</v>
      </c>
      <c r="N104" s="2">
        <f t="shared" si="6"/>
        <v>8.5398275981777978</v>
      </c>
      <c r="O104" s="2">
        <f t="shared" si="7"/>
        <v>-2.5101023718629989E-3</v>
      </c>
      <c r="P104" s="2">
        <f t="shared" si="8"/>
        <v>8.5397274000205101</v>
      </c>
      <c r="Q104" s="2">
        <f t="shared" si="9"/>
        <v>-2.4099042145753202E-3</v>
      </c>
      <c r="R104" s="2">
        <f t="shared" si="10"/>
        <v>8.5393648665167934</v>
      </c>
      <c r="S104" s="2">
        <f t="shared" si="11"/>
        <v>-2.047370710858587E-3</v>
      </c>
      <c r="U104" s="2"/>
    </row>
    <row r="105" spans="10:21" x14ac:dyDescent="0.2">
      <c r="J105" s="8">
        <v>104</v>
      </c>
      <c r="K105">
        <v>308.14999999999998</v>
      </c>
      <c r="L105">
        <v>35</v>
      </c>
      <c r="M105" s="2">
        <v>8.4804249186766079</v>
      </c>
      <c r="N105" s="2">
        <f t="shared" si="6"/>
        <v>8.4830650073782845</v>
      </c>
      <c r="O105" s="2">
        <f t="shared" si="7"/>
        <v>-2.6400887016766461E-3</v>
      </c>
      <c r="P105" s="2">
        <f t="shared" si="8"/>
        <v>8.4829631837661736</v>
      </c>
      <c r="Q105" s="2">
        <f t="shared" si="9"/>
        <v>-2.5382650895657832E-3</v>
      </c>
      <c r="R105" s="2">
        <f t="shared" si="10"/>
        <v>8.4827509866621611</v>
      </c>
      <c r="S105" s="2">
        <f t="shared" si="11"/>
        <v>-2.3260679855532373E-3</v>
      </c>
      <c r="U105" s="2"/>
    </row>
    <row r="106" spans="10:21" x14ac:dyDescent="0.2">
      <c r="J106" s="8">
        <v>105</v>
      </c>
      <c r="K106">
        <v>313.14999999999998</v>
      </c>
      <c r="L106">
        <v>35</v>
      </c>
      <c r="M106" s="2">
        <v>8.4243575010628984</v>
      </c>
      <c r="N106" s="2">
        <f t="shared" si="6"/>
        <v>8.4274496167711188</v>
      </c>
      <c r="O106" s="2">
        <f t="shared" si="7"/>
        <v>-3.0921157082204331E-3</v>
      </c>
      <c r="P106" s="2">
        <f t="shared" si="8"/>
        <v>8.4273461678146315</v>
      </c>
      <c r="Q106" s="2">
        <f t="shared" si="9"/>
        <v>-2.9886667517331489E-3</v>
      </c>
      <c r="R106" s="2">
        <f t="shared" si="10"/>
        <v>8.427328438043471</v>
      </c>
      <c r="S106" s="2">
        <f t="shared" si="11"/>
        <v>-2.9709369805726027E-3</v>
      </c>
      <c r="U106" s="2"/>
    </row>
    <row r="107" spans="10:21" x14ac:dyDescent="0.2">
      <c r="J107" s="8">
        <v>106</v>
      </c>
      <c r="K107">
        <v>318.14999999999998</v>
      </c>
      <c r="L107">
        <v>35</v>
      </c>
      <c r="M107" s="2">
        <v>8.3684638012419512</v>
      </c>
      <c r="N107" s="2">
        <f t="shared" si="6"/>
        <v>8.3728787119702517</v>
      </c>
      <c r="O107" s="2">
        <f t="shared" si="7"/>
        <v>-4.4149107283004696E-3</v>
      </c>
      <c r="P107" s="2">
        <f t="shared" si="8"/>
        <v>8.3727736377762589</v>
      </c>
      <c r="Q107" s="2">
        <f t="shared" si="9"/>
        <v>-4.3098365343077205E-3</v>
      </c>
      <c r="R107" s="2">
        <f t="shared" si="10"/>
        <v>8.3729928286256143</v>
      </c>
      <c r="S107" s="2">
        <f t="shared" si="11"/>
        <v>-4.5290273836631201E-3</v>
      </c>
      <c r="U107" s="2"/>
    </row>
    <row r="108" spans="10:21" x14ac:dyDescent="0.2">
      <c r="J108" s="8">
        <v>107</v>
      </c>
      <c r="K108">
        <v>273.14999999999998</v>
      </c>
      <c r="L108">
        <v>45</v>
      </c>
      <c r="M108" s="2">
        <v>8.869856780599255</v>
      </c>
      <c r="N108" s="2">
        <f t="shared" si="6"/>
        <v>8.8667224303329792</v>
      </c>
      <c r="O108" s="2">
        <f t="shared" si="7"/>
        <v>3.1343502662757317E-3</v>
      </c>
      <c r="P108" s="2">
        <f t="shared" si="8"/>
        <v>8.8666219071889127</v>
      </c>
      <c r="Q108" s="2">
        <f t="shared" si="9"/>
        <v>3.2348734103422316E-3</v>
      </c>
      <c r="R108" s="2">
        <f t="shared" si="10"/>
        <v>8.8663505347177818</v>
      </c>
      <c r="S108" s="2">
        <f t="shared" si="11"/>
        <v>3.5062458814731912E-3</v>
      </c>
      <c r="U108" s="2"/>
    </row>
    <row r="109" spans="10:21" x14ac:dyDescent="0.2">
      <c r="J109" s="8">
        <v>108</v>
      </c>
      <c r="K109">
        <v>278.14999999999998</v>
      </c>
      <c r="L109">
        <v>45</v>
      </c>
      <c r="M109" s="2">
        <v>8.8010645346657785</v>
      </c>
      <c r="N109" s="2">
        <f t="shared" si="6"/>
        <v>8.8004429727829656</v>
      </c>
      <c r="O109" s="2">
        <f t="shared" si="7"/>
        <v>6.2156188281292657E-4</v>
      </c>
      <c r="P109" s="2">
        <f t="shared" si="8"/>
        <v>8.8003406189370139</v>
      </c>
      <c r="Q109" s="2">
        <f t="shared" si="9"/>
        <v>7.2391572876462362E-4</v>
      </c>
      <c r="R109" s="2">
        <f t="shared" si="10"/>
        <v>8.7998854203104635</v>
      </c>
      <c r="S109" s="2">
        <f t="shared" si="11"/>
        <v>1.1791143553150363E-3</v>
      </c>
      <c r="U109" s="2"/>
    </row>
    <row r="110" spans="10:21" x14ac:dyDescent="0.2">
      <c r="J110" s="8">
        <v>109</v>
      </c>
      <c r="K110">
        <v>283.14999999999998</v>
      </c>
      <c r="L110">
        <v>45</v>
      </c>
      <c r="M110" s="2">
        <v>8.7351820617610567</v>
      </c>
      <c r="N110" s="2">
        <f t="shared" si="6"/>
        <v>8.7356768129391611</v>
      </c>
      <c r="O110" s="2">
        <f t="shared" si="7"/>
        <v>-4.9475117810438007E-4</v>
      </c>
      <c r="P110" s="2">
        <f t="shared" si="8"/>
        <v>8.7355726284516741</v>
      </c>
      <c r="Q110" s="2">
        <f t="shared" si="9"/>
        <v>-3.9056669061743321E-4</v>
      </c>
      <c r="R110" s="2">
        <f t="shared" si="10"/>
        <v>8.7350004583494805</v>
      </c>
      <c r="S110" s="2">
        <f t="shared" si="11"/>
        <v>1.8160341157624771E-4</v>
      </c>
      <c r="U110" s="2"/>
    </row>
    <row r="111" spans="10:21" x14ac:dyDescent="0.2">
      <c r="J111" s="8">
        <v>110</v>
      </c>
      <c r="K111">
        <v>288.14999999999998</v>
      </c>
      <c r="L111">
        <v>45</v>
      </c>
      <c r="M111" s="2">
        <v>8.6712973434730873</v>
      </c>
      <c r="N111" s="2">
        <f t="shared" si="6"/>
        <v>8.6722780216126338</v>
      </c>
      <c r="O111" s="2">
        <f t="shared" si="7"/>
        <v>-9.8067813954649807E-4</v>
      </c>
      <c r="P111" s="2">
        <f t="shared" si="8"/>
        <v>8.6721720065416861</v>
      </c>
      <c r="Q111" s="2">
        <f t="shared" si="9"/>
        <v>-8.7466306859873555E-4</v>
      </c>
      <c r="R111" s="2">
        <f t="shared" si="10"/>
        <v>8.6715468146675736</v>
      </c>
      <c r="S111" s="2">
        <f t="shared" si="11"/>
        <v>-2.4947119448626154E-4</v>
      </c>
      <c r="U111" s="2"/>
    </row>
    <row r="112" spans="10:21" x14ac:dyDescent="0.2">
      <c r="J112" s="8">
        <v>111</v>
      </c>
      <c r="K112">
        <v>293.14999999999998</v>
      </c>
      <c r="L112">
        <v>45</v>
      </c>
      <c r="M112" s="2">
        <v>8.6100183920765385</v>
      </c>
      <c r="N112" s="2">
        <f t="shared" si="6"/>
        <v>8.6101129166313335</v>
      </c>
      <c r="O112" s="2">
        <f t="shared" si="7"/>
        <v>-9.452455479497246E-5</v>
      </c>
      <c r="P112" s="2">
        <f t="shared" si="8"/>
        <v>8.6100050710328588</v>
      </c>
      <c r="Q112" s="2">
        <f t="shared" si="9"/>
        <v>1.3321043679681566E-5</v>
      </c>
      <c r="R112" s="2">
        <f t="shared" si="10"/>
        <v>8.6093880806796861</v>
      </c>
      <c r="S112" s="2">
        <f t="shared" si="11"/>
        <v>6.3031139685243431E-4</v>
      </c>
      <c r="U112" s="2"/>
    </row>
    <row r="113" spans="10:21" x14ac:dyDescent="0.2">
      <c r="J113" s="8">
        <v>112</v>
      </c>
      <c r="K113">
        <v>298.14999999999998</v>
      </c>
      <c r="L113">
        <v>45</v>
      </c>
      <c r="M113" s="2">
        <v>8.5497383179883677</v>
      </c>
      <c r="N113" s="2">
        <f t="shared" si="6"/>
        <v>8.5490589206351544</v>
      </c>
      <c r="O113" s="2">
        <f t="shared" si="7"/>
        <v>6.7939735321331796E-4</v>
      </c>
      <c r="P113" s="2">
        <f t="shared" si="8"/>
        <v>8.5489492445630404</v>
      </c>
      <c r="Q113" s="2">
        <f t="shared" si="9"/>
        <v>7.890734253273024E-4</v>
      </c>
      <c r="R113" s="2">
        <f t="shared" si="10"/>
        <v>8.5483991171927833</v>
      </c>
      <c r="S113" s="2">
        <f t="shared" si="11"/>
        <v>1.339200795584361E-3</v>
      </c>
      <c r="U113" s="2"/>
    </row>
    <row r="114" spans="10:21" x14ac:dyDescent="0.2">
      <c r="J114" s="8">
        <v>113</v>
      </c>
      <c r="K114">
        <v>303.14999999999998</v>
      </c>
      <c r="L114">
        <v>45</v>
      </c>
      <c r="M114" s="2">
        <v>8.4905439801049543</v>
      </c>
      <c r="N114" s="2">
        <f t="shared" si="6"/>
        <v>8.4890035395122556</v>
      </c>
      <c r="O114" s="2">
        <f t="shared" si="7"/>
        <v>1.5404405926986442E-3</v>
      </c>
      <c r="P114" s="2">
        <f t="shared" si="8"/>
        <v>8.488892033018514</v>
      </c>
      <c r="Q114" s="2">
        <f t="shared" si="9"/>
        <v>1.6519470864402308E-3</v>
      </c>
      <c r="R114" s="2">
        <f t="shared" si="10"/>
        <v>8.4884650201757594</v>
      </c>
      <c r="S114" s="2">
        <f t="shared" si="11"/>
        <v>2.0789599291948235E-3</v>
      </c>
      <c r="U114" s="2"/>
    </row>
    <row r="115" spans="10:21" x14ac:dyDescent="0.2">
      <c r="J115" s="8">
        <v>114</v>
      </c>
      <c r="K115">
        <v>308.14999999999998</v>
      </c>
      <c r="L115">
        <v>45</v>
      </c>
      <c r="M115" s="2">
        <v>8.4315233600143031</v>
      </c>
      <c r="N115" s="2">
        <f t="shared" si="6"/>
        <v>8.4298434471571877</v>
      </c>
      <c r="O115" s="2">
        <f t="shared" si="7"/>
        <v>1.6799128571154398E-3</v>
      </c>
      <c r="P115" s="2">
        <f t="shared" si="8"/>
        <v>8.4297301102919757</v>
      </c>
      <c r="Q115" s="2">
        <f t="shared" si="9"/>
        <v>1.7932497223274169E-3</v>
      </c>
      <c r="R115" s="2">
        <f t="shared" si="10"/>
        <v>8.4294801940254604</v>
      </c>
      <c r="S115" s="2">
        <f t="shared" si="11"/>
        <v>2.0431659888426879E-3</v>
      </c>
      <c r="U115" s="2"/>
    </row>
    <row r="116" spans="10:21" x14ac:dyDescent="0.2">
      <c r="J116" s="8">
        <v>115</v>
      </c>
      <c r="K116">
        <v>313.14999999999998</v>
      </c>
      <c r="L116">
        <v>45</v>
      </c>
      <c r="M116" s="2">
        <v>8.3733278994392659</v>
      </c>
      <c r="N116" s="2">
        <f t="shared" si="6"/>
        <v>8.3714836641185926</v>
      </c>
      <c r="O116" s="2">
        <f t="shared" si="7"/>
        <v>1.8442353206733486E-3</v>
      </c>
      <c r="P116" s="2">
        <f t="shared" si="8"/>
        <v>8.3713684969303532</v>
      </c>
      <c r="Q116" s="2">
        <f t="shared" si="9"/>
        <v>1.9594025089126887E-3</v>
      </c>
      <c r="R116" s="2">
        <f t="shared" si="10"/>
        <v>8.3713475197701346</v>
      </c>
      <c r="S116" s="2">
        <f t="shared" si="11"/>
        <v>1.980379669131338E-3</v>
      </c>
      <c r="U116" s="2"/>
    </row>
    <row r="117" spans="10:21" x14ac:dyDescent="0.2">
      <c r="J117" s="8">
        <v>116</v>
      </c>
      <c r="K117">
        <v>318.14999999999998</v>
      </c>
      <c r="L117">
        <v>45</v>
      </c>
      <c r="M117" s="2">
        <v>8.3150890094160399</v>
      </c>
      <c r="N117" s="2">
        <f t="shared" si="6"/>
        <v>8.3138368193199188</v>
      </c>
      <c r="O117" s="2">
        <f t="shared" si="7"/>
        <v>1.2521900961210974E-3</v>
      </c>
      <c r="P117" s="2">
        <f t="shared" si="8"/>
        <v>8.313719821855452</v>
      </c>
      <c r="Q117" s="2">
        <f t="shared" si="9"/>
        <v>1.3691875605879034E-3</v>
      </c>
      <c r="R117" s="2">
        <f t="shared" si="10"/>
        <v>8.3139776072823999</v>
      </c>
      <c r="S117" s="2">
        <f t="shared" si="11"/>
        <v>1.111402133640027E-3</v>
      </c>
      <c r="U117" s="2"/>
    </row>
  </sheetData>
  <conditionalFormatting sqref="O1">
    <cfRule type="top10" dxfId="28" priority="6" bottom="1" rank="3"/>
    <cfRule type="top10" dxfId="27" priority="7" rank="3"/>
  </conditionalFormatting>
  <conditionalFormatting sqref="O1:O117 O118:P1048576 Q1:Q1048576">
    <cfRule type="top10" dxfId="26" priority="4" bottom="1" rank="3"/>
    <cfRule type="top10" dxfId="25" priority="5" rank="3"/>
  </conditionalFormatting>
  <conditionalFormatting sqref="Q1">
    <cfRule type="top10" dxfId="24" priority="2" bottom="1" rank="3"/>
    <cfRule type="top10" dxfId="23" priority="3" rank="3"/>
  </conditionalFormatting>
  <conditionalFormatting sqref="Q2:Q117">
    <cfRule type="top10" dxfId="22" priority="1" bottom="1" rank="3"/>
  </conditionalFormatting>
  <conditionalFormatting sqref="S1">
    <cfRule type="top10" dxfId="21" priority="14" bottom="1" rank="3"/>
    <cfRule type="top10" dxfId="20" priority="15" rank="3"/>
  </conditionalFormatting>
  <conditionalFormatting sqref="S1:S1048576">
    <cfRule type="top10" dxfId="19" priority="12" bottom="1" rank="3"/>
    <cfRule type="top10" dxfId="18" priority="13" rank="3"/>
  </conditionalFormatting>
  <conditionalFormatting sqref="U1">
    <cfRule type="top10" dxfId="17" priority="10" bottom="1" rank="3"/>
    <cfRule type="top10" dxfId="16" priority="11" rank="3"/>
  </conditionalFormatting>
  <conditionalFormatting sqref="U1:U1048576">
    <cfRule type="top10" dxfId="15" priority="8" bottom="1" rank="3"/>
    <cfRule type="top10" dxfId="14" priority="9" rank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1561C-BB1E-4507-8E8E-76B9C841DA44}">
  <dimension ref="A1:S120"/>
  <sheetViews>
    <sheetView zoomScale="110" zoomScaleNormal="110" workbookViewId="0">
      <selection activeCell="R2" sqref="R2"/>
    </sheetView>
  </sheetViews>
  <sheetFormatPr baseColWidth="10" defaultColWidth="8.83203125" defaultRowHeight="15" x14ac:dyDescent="0.2"/>
  <cols>
    <col min="1" max="1" width="31.33203125" customWidth="1"/>
    <col min="2" max="2" width="16.33203125" customWidth="1"/>
    <col min="5" max="5" width="5" customWidth="1"/>
    <col min="17" max="17" width="11.5" customWidth="1"/>
    <col min="19" max="19" width="11.5" customWidth="1"/>
  </cols>
  <sheetData>
    <row r="1" spans="1:19" ht="16" x14ac:dyDescent="0.2">
      <c r="L1" s="18" t="s">
        <v>47</v>
      </c>
      <c r="M1" s="18" t="s">
        <v>3</v>
      </c>
      <c r="N1" s="18" t="s">
        <v>4</v>
      </c>
      <c r="O1" s="7" t="s">
        <v>8</v>
      </c>
      <c r="P1" s="18" t="s">
        <v>71</v>
      </c>
      <c r="Q1" s="18" t="s">
        <v>72</v>
      </c>
      <c r="R1" s="7" t="s">
        <v>74</v>
      </c>
      <c r="S1" s="18" t="s">
        <v>73</v>
      </c>
    </row>
    <row r="2" spans="1:19" x14ac:dyDescent="0.2">
      <c r="A2" s="10" t="s">
        <v>64</v>
      </c>
      <c r="L2" s="8">
        <v>1</v>
      </c>
      <c r="M2">
        <v>275.14999999999998</v>
      </c>
      <c r="N2">
        <v>0</v>
      </c>
      <c r="O2" s="2">
        <v>9.4763443037501052</v>
      </c>
      <c r="P2" s="2">
        <f>$B$13+$B$14*N2^0.5+$B$15*1/M2+$B$16*N2^0.5/M2+$B$17*(N2^0.5/(1+N2^0.5))+$B$18*LN(M2)+$B$19*N2^0.5/LN(M2)+$B$20*N2^0.5*M2+$B$21*N2*M2</f>
        <v>9.4759163867040286</v>
      </c>
      <c r="Q2" s="2">
        <f>O2-P2</f>
        <v>4.2791704607658687E-4</v>
      </c>
      <c r="R2" s="2">
        <f>-60.0439+88.29443*N2^0.5+3709.084*1/M2+2982.7*N2^0.5/M2+(-0.07859)*(N2^0.5/(1+N2^0.5))+9.9762*LN(M2)+(-524.5915)*N2^0.5/LN(M2)+(-0.0213143)*N2^0.5*M2+0.00001828*N2*M2</f>
        <v>9.475797236291541</v>
      </c>
      <c r="S2" s="2">
        <f>O2-R2</f>
        <v>5.4706745856414329E-4</v>
      </c>
    </row>
    <row r="3" spans="1:19" x14ac:dyDescent="0.2">
      <c r="A3" s="10" t="s">
        <v>65</v>
      </c>
      <c r="L3" s="8">
        <v>2</v>
      </c>
      <c r="M3">
        <v>283.14999999999998</v>
      </c>
      <c r="N3">
        <v>0</v>
      </c>
      <c r="O3" s="2">
        <v>9.3805996831057872</v>
      </c>
      <c r="P3" s="2">
        <f t="shared" ref="P3:P66" si="0">$B$13+$B$14*N3^0.5+$B$15*1/M3+$B$16*N3^0.5/M3+$B$17*(N3^0.5/(1+N3^0.5))+$B$18*LN(M3)+$B$19*N3^0.5/LN(M3)+$B$20*N3^0.5*M3+$B$21*N3*M3</f>
        <v>9.3809739564354047</v>
      </c>
      <c r="Q3" s="2">
        <f t="shared" ref="Q3:Q66" si="1">O3-P3</f>
        <v>-3.742733296174805E-4</v>
      </c>
      <c r="R3" s="2">
        <f t="shared" ref="R3:R66" si="2">-60.0439+88.29443*N3^0.5+3709.084*1/M3+2982.7*N3^0.5/M3+(-0.07859)*(N3^0.5/(1+N3^0.5))+9.9762*LN(M3)+(-524.5915)*N3^0.5/LN(M3)+(-0.0213143)*N3^0.5*M3+0.00001828*N3*M3</f>
        <v>9.3808544407817749</v>
      </c>
      <c r="S3" s="2">
        <f t="shared" ref="S3:S66" si="3">O3-R3</f>
        <v>-2.547576759877046E-4</v>
      </c>
    </row>
    <row r="4" spans="1:19" x14ac:dyDescent="0.2">
      <c r="A4" s="10" t="s">
        <v>66</v>
      </c>
      <c r="L4" s="8">
        <v>3</v>
      </c>
      <c r="M4">
        <v>288.14999999999998</v>
      </c>
      <c r="N4">
        <v>0</v>
      </c>
      <c r="O4" s="2">
        <v>9.327701400560402</v>
      </c>
      <c r="P4" s="2">
        <f t="shared" si="0"/>
        <v>9.3283003567135552</v>
      </c>
      <c r="Q4" s="2">
        <f t="shared" si="1"/>
        <v>-5.9895615315319617E-4</v>
      </c>
      <c r="R4" s="2">
        <f t="shared" si="2"/>
        <v>9.3281806179262361</v>
      </c>
      <c r="S4" s="2">
        <f t="shared" si="3"/>
        <v>-4.79217365834117E-4</v>
      </c>
    </row>
    <row r="5" spans="1:19" x14ac:dyDescent="0.2">
      <c r="A5" s="10" t="s">
        <v>12</v>
      </c>
      <c r="L5" s="8">
        <v>4</v>
      </c>
      <c r="M5">
        <v>293.14999999999998</v>
      </c>
      <c r="N5">
        <v>0</v>
      </c>
      <c r="O5" s="2">
        <v>9.279748389054344</v>
      </c>
      <c r="P5" s="2">
        <f t="shared" si="0"/>
        <v>9.2803762686352869</v>
      </c>
      <c r="Q5" s="2">
        <f t="shared" si="1"/>
        <v>-6.2787958094290275E-4</v>
      </c>
      <c r="R5" s="2">
        <f t="shared" si="2"/>
        <v>9.2802563105081788</v>
      </c>
      <c r="S5" s="2">
        <f t="shared" si="3"/>
        <v>-5.0792145383482534E-4</v>
      </c>
    </row>
    <row r="6" spans="1:19" x14ac:dyDescent="0.2">
      <c r="A6" s="9"/>
      <c r="L6" s="8">
        <v>5</v>
      </c>
      <c r="M6">
        <v>298.14999999999998</v>
      </c>
      <c r="N6">
        <v>0</v>
      </c>
      <c r="O6" s="2">
        <v>9.236439174278031</v>
      </c>
      <c r="P6" s="2">
        <f t="shared" si="0"/>
        <v>9.2369132212710738</v>
      </c>
      <c r="Q6" s="2">
        <f t="shared" si="1"/>
        <v>-4.740469930428759E-4</v>
      </c>
      <c r="R6" s="2">
        <f t="shared" si="2"/>
        <v>9.2367930474712097</v>
      </c>
      <c r="S6" s="2">
        <f t="shared" si="3"/>
        <v>-3.5387319317869981E-4</v>
      </c>
    </row>
    <row r="7" spans="1:19" x14ac:dyDescent="0.2">
      <c r="A7" s="10" t="s">
        <v>13</v>
      </c>
      <c r="L7" s="8">
        <v>6</v>
      </c>
      <c r="M7">
        <v>303.14999999999998</v>
      </c>
      <c r="N7">
        <v>0</v>
      </c>
      <c r="O7" s="2">
        <v>9.197493909256881</v>
      </c>
      <c r="P7" s="2">
        <f t="shared" si="0"/>
        <v>9.1976434090640495</v>
      </c>
      <c r="Q7" s="2">
        <f t="shared" si="1"/>
        <v>-1.4949980716849609E-4</v>
      </c>
      <c r="R7" s="2">
        <f t="shared" si="2"/>
        <v>9.1975230231378688</v>
      </c>
      <c r="S7" s="2">
        <f t="shared" si="3"/>
        <v>-2.9113880987807761E-5</v>
      </c>
    </row>
    <row r="8" spans="1:19" x14ac:dyDescent="0.2">
      <c r="A8" s="10" t="s">
        <v>39</v>
      </c>
      <c r="L8" s="8">
        <v>7</v>
      </c>
      <c r="M8">
        <v>308.14999999999998</v>
      </c>
      <c r="N8">
        <v>0</v>
      </c>
      <c r="O8" s="2">
        <v>9.1626525351283945</v>
      </c>
      <c r="P8" s="2">
        <f t="shared" si="0"/>
        <v>9.162317935717688</v>
      </c>
      <c r="Q8" s="2">
        <f t="shared" si="1"/>
        <v>3.3459941070645982E-4</v>
      </c>
      <c r="R8" s="2">
        <f t="shared" si="2"/>
        <v>9.1621973410969204</v>
      </c>
      <c r="S8" s="2">
        <f t="shared" si="3"/>
        <v>4.5519403147409321E-4</v>
      </c>
    </row>
    <row r="9" spans="1:19" x14ac:dyDescent="0.2">
      <c r="A9" s="10" t="s">
        <v>67</v>
      </c>
      <c r="L9" s="8">
        <v>8</v>
      </c>
      <c r="M9" s="3">
        <v>275.95999999999998</v>
      </c>
      <c r="N9">
        <v>1.5389999999999999</v>
      </c>
      <c r="O9" s="2">
        <v>9.2816954622092496</v>
      </c>
      <c r="P9" s="2">
        <f t="shared" si="0"/>
        <v>9.2830779214443684</v>
      </c>
      <c r="Q9" s="2">
        <f t="shared" si="1"/>
        <v>-1.3824592351188159E-3</v>
      </c>
      <c r="R9" s="2">
        <f t="shared" si="2"/>
        <v>9.2828643580396974</v>
      </c>
      <c r="S9" s="2">
        <f t="shared" si="3"/>
        <v>-1.1688958304478803E-3</v>
      </c>
    </row>
    <row r="10" spans="1:19" x14ac:dyDescent="0.2">
      <c r="A10" s="9"/>
      <c r="L10" s="8">
        <v>9</v>
      </c>
      <c r="M10" s="3">
        <v>283.66499999999996</v>
      </c>
      <c r="N10">
        <v>1.5389999999999999</v>
      </c>
      <c r="O10" s="2">
        <v>9.1898538180847282</v>
      </c>
      <c r="P10" s="2">
        <f t="shared" si="0"/>
        <v>9.1895955394705293</v>
      </c>
      <c r="Q10" s="2">
        <f t="shared" si="1"/>
        <v>2.5827861419891462E-4</v>
      </c>
      <c r="R10" s="2">
        <f t="shared" si="2"/>
        <v>9.1893817427966713</v>
      </c>
      <c r="S10" s="2">
        <f t="shared" si="3"/>
        <v>4.7207528805692789E-4</v>
      </c>
    </row>
    <row r="11" spans="1:19" x14ac:dyDescent="0.2">
      <c r="A11" s="10" t="s">
        <v>14</v>
      </c>
      <c r="L11" s="8">
        <v>10</v>
      </c>
      <c r="M11">
        <v>288.16999999999996</v>
      </c>
      <c r="N11">
        <v>1.5389999999999999</v>
      </c>
      <c r="O11" s="2">
        <v>9.1413505036630003</v>
      </c>
      <c r="P11" s="2">
        <f t="shared" si="0"/>
        <v>9.1400364748520939</v>
      </c>
      <c r="Q11" s="2">
        <f t="shared" si="1"/>
        <v>1.3140288109063647E-3</v>
      </c>
      <c r="R11" s="2">
        <f t="shared" si="2"/>
        <v>9.1398225523620891</v>
      </c>
      <c r="S11" s="2">
        <f t="shared" si="3"/>
        <v>1.5279513009112122E-3</v>
      </c>
    </row>
    <row r="12" spans="1:19" x14ac:dyDescent="0.2">
      <c r="A12" s="10"/>
      <c r="B12" t="s">
        <v>15</v>
      </c>
      <c r="C12" t="s">
        <v>16</v>
      </c>
      <c r="D12" t="s">
        <v>17</v>
      </c>
      <c r="F12" t="s">
        <v>18</v>
      </c>
      <c r="L12" s="8">
        <v>11</v>
      </c>
      <c r="M12" s="3">
        <v>293.13499999999999</v>
      </c>
      <c r="N12">
        <v>1.5389999999999999</v>
      </c>
      <c r="O12" s="2">
        <v>9.0894468798349664</v>
      </c>
      <c r="P12" s="2">
        <f t="shared" si="0"/>
        <v>9.0893702605629763</v>
      </c>
      <c r="Q12" s="2">
        <f t="shared" si="1"/>
        <v>7.6619271990097104E-5</v>
      </c>
      <c r="R12" s="2">
        <f t="shared" si="2"/>
        <v>9.0891562079979895</v>
      </c>
      <c r="S12" s="2">
        <f t="shared" si="3"/>
        <v>2.9067183697684129E-4</v>
      </c>
    </row>
    <row r="13" spans="1:19" x14ac:dyDescent="0.2">
      <c r="A13" s="10" t="s">
        <v>19</v>
      </c>
      <c r="B13">
        <v>-60.0438534635</v>
      </c>
      <c r="C13">
        <v>2.6312757885</v>
      </c>
      <c r="D13">
        <v>-22.818999999999999</v>
      </c>
      <c r="E13" t="s">
        <v>20</v>
      </c>
      <c r="F13">
        <v>2E-16</v>
      </c>
      <c r="G13" t="s">
        <v>21</v>
      </c>
      <c r="L13" s="8">
        <v>12</v>
      </c>
      <c r="M13" s="3">
        <v>297.79999999999995</v>
      </c>
      <c r="N13">
        <v>1.5389999999999999</v>
      </c>
      <c r="O13" s="2">
        <v>9.0479737153482098</v>
      </c>
      <c r="P13" s="2">
        <f t="shared" si="0"/>
        <v>9.0452521365645744</v>
      </c>
      <c r="Q13" s="2">
        <f t="shared" si="1"/>
        <v>2.7215787836354366E-3</v>
      </c>
      <c r="R13" s="2">
        <f t="shared" si="2"/>
        <v>9.045037969659619</v>
      </c>
      <c r="S13" s="2">
        <f t="shared" si="3"/>
        <v>2.9357456885907851E-3</v>
      </c>
    </row>
    <row r="14" spans="1:19" x14ac:dyDescent="0.2">
      <c r="A14" s="10" t="s">
        <v>69</v>
      </c>
      <c r="B14">
        <v>88.294427727599995</v>
      </c>
      <c r="C14">
        <v>21.532777984199999</v>
      </c>
      <c r="D14">
        <v>4.0999999999999996</v>
      </c>
      <c r="F14">
        <v>8.0580000000000004E-5</v>
      </c>
      <c r="G14" t="s">
        <v>21</v>
      </c>
      <c r="L14" s="17">
        <v>13</v>
      </c>
      <c r="M14" s="3">
        <v>303.375</v>
      </c>
      <c r="N14">
        <v>1.5389999999999999</v>
      </c>
      <c r="O14" s="2">
        <v>8.9939324605153796</v>
      </c>
      <c r="P14" s="2">
        <f t="shared" si="0"/>
        <v>8.9965927597446544</v>
      </c>
      <c r="Q14" s="2">
        <f t="shared" si="1"/>
        <v>-2.6602992292747984E-3</v>
      </c>
      <c r="R14" s="2">
        <f t="shared" si="2"/>
        <v>8.9963784657792516</v>
      </c>
      <c r="S14" s="2">
        <f t="shared" si="3"/>
        <v>-2.4460052638719532E-3</v>
      </c>
    </row>
    <row r="15" spans="1:19" x14ac:dyDescent="0.2">
      <c r="A15" s="10" t="s">
        <v>24</v>
      </c>
      <c r="B15">
        <v>3709.0840432732998</v>
      </c>
      <c r="C15">
        <v>115.5449022475</v>
      </c>
      <c r="D15">
        <v>32.100999999999999</v>
      </c>
      <c r="E15" t="s">
        <v>20</v>
      </c>
      <c r="F15">
        <v>2E-16</v>
      </c>
      <c r="G15" t="s">
        <v>21</v>
      </c>
      <c r="L15" s="8">
        <v>14</v>
      </c>
      <c r="M15">
        <v>307.20999999999998</v>
      </c>
      <c r="N15">
        <v>2.129</v>
      </c>
      <c r="O15" s="2">
        <v>8.9341368171409883</v>
      </c>
      <c r="P15" s="2">
        <f t="shared" si="0"/>
        <v>8.9360244364571599</v>
      </c>
      <c r="Q15" s="2">
        <f t="shared" si="1"/>
        <v>-1.8876193161716515E-3</v>
      </c>
      <c r="R15" s="2">
        <f t="shared" si="2"/>
        <v>8.9358073124019857</v>
      </c>
      <c r="S15" s="2">
        <f t="shared" si="3"/>
        <v>-1.6704952609973844E-3</v>
      </c>
    </row>
    <row r="16" spans="1:19" x14ac:dyDescent="0.2">
      <c r="A16" s="10" t="s">
        <v>41</v>
      </c>
      <c r="B16">
        <v>2982.6981805689002</v>
      </c>
      <c r="C16">
        <v>803.89883141259998</v>
      </c>
      <c r="D16">
        <v>3.71</v>
      </c>
      <c r="F16">
        <v>3.3E-4</v>
      </c>
      <c r="G16" t="s">
        <v>21</v>
      </c>
      <c r="L16" s="8">
        <v>15</v>
      </c>
      <c r="M16" s="3">
        <v>275.70999999999998</v>
      </c>
      <c r="N16">
        <v>3.0430000000000001</v>
      </c>
      <c r="O16" s="2">
        <v>9.2264391742780294</v>
      </c>
      <c r="P16" s="2">
        <f t="shared" si="0"/>
        <v>9.2278112319781993</v>
      </c>
      <c r="Q16" s="2">
        <f t="shared" si="1"/>
        <v>-1.3720577001699041E-3</v>
      </c>
      <c r="R16" s="2">
        <f t="shared" si="2"/>
        <v>9.227593377760769</v>
      </c>
      <c r="S16" s="2">
        <f t="shared" si="3"/>
        <v>-1.1542034827396463E-3</v>
      </c>
    </row>
    <row r="17" spans="1:19" x14ac:dyDescent="0.2">
      <c r="A17" s="10" t="s">
        <v>42</v>
      </c>
      <c r="B17">
        <v>-7.8358853199999995E-2</v>
      </c>
      <c r="C17">
        <v>2.9067860000000002E-3</v>
      </c>
      <c r="D17">
        <v>-26.957000000000001</v>
      </c>
      <c r="E17" t="s">
        <v>20</v>
      </c>
      <c r="F17">
        <v>2E-16</v>
      </c>
      <c r="G17" t="s">
        <v>21</v>
      </c>
      <c r="L17" s="8">
        <v>16</v>
      </c>
      <c r="M17" s="3">
        <v>283.70499999999998</v>
      </c>
      <c r="N17">
        <v>3.0430000000000001</v>
      </c>
      <c r="O17" s="2">
        <v>9.1325983446066221</v>
      </c>
      <c r="P17" s="2">
        <f t="shared" si="0"/>
        <v>9.1294575834359151</v>
      </c>
      <c r="Q17" s="2">
        <f t="shared" si="1"/>
        <v>3.1407611707070515E-3</v>
      </c>
      <c r="R17" s="2">
        <f t="shared" si="2"/>
        <v>9.1292395651573415</v>
      </c>
      <c r="S17" s="2">
        <f t="shared" si="3"/>
        <v>3.3587794492806466E-3</v>
      </c>
    </row>
    <row r="18" spans="1:19" x14ac:dyDescent="0.2">
      <c r="A18" s="10" t="s">
        <v>28</v>
      </c>
      <c r="B18">
        <v>9.9762128988000001</v>
      </c>
      <c r="C18">
        <v>0.39375866700000001</v>
      </c>
      <c r="D18">
        <v>25.335999999999999</v>
      </c>
      <c r="E18" t="s">
        <v>20</v>
      </c>
      <c r="F18">
        <v>2E-16</v>
      </c>
      <c r="G18" t="s">
        <v>21</v>
      </c>
      <c r="L18" s="17">
        <v>17</v>
      </c>
      <c r="M18">
        <v>288.37</v>
      </c>
      <c r="N18">
        <v>3.0430000000000001</v>
      </c>
      <c r="O18" s="2">
        <v>9.0792442506120992</v>
      </c>
      <c r="P18" s="2">
        <f t="shared" si="0"/>
        <v>9.0773223404987196</v>
      </c>
      <c r="Q18" s="2">
        <f t="shared" si="1"/>
        <v>1.9219101133796102E-3</v>
      </c>
      <c r="R18" s="2">
        <f t="shared" si="2"/>
        <v>9.0771042405638589</v>
      </c>
      <c r="S18" s="2">
        <f t="shared" si="3"/>
        <v>2.1400100482402706E-3</v>
      </c>
    </row>
    <row r="19" spans="1:19" x14ac:dyDescent="0.2">
      <c r="A19" s="10" t="s">
        <v>70</v>
      </c>
      <c r="B19">
        <v>-524.59154025309999</v>
      </c>
      <c r="C19">
        <v>130.5096247379</v>
      </c>
      <c r="D19">
        <v>-4.0199999999999996</v>
      </c>
      <c r="F19">
        <v>1.0900000000000001E-4</v>
      </c>
      <c r="G19" t="s">
        <v>21</v>
      </c>
      <c r="L19" s="17">
        <v>18</v>
      </c>
      <c r="M19">
        <v>293.20999999999998</v>
      </c>
      <c r="N19">
        <v>3.0430000000000001</v>
      </c>
      <c r="O19" s="2">
        <v>9.0266279869348995</v>
      </c>
      <c r="P19" s="2">
        <f t="shared" si="0"/>
        <v>9.0268920498378709</v>
      </c>
      <c r="Q19" s="2">
        <f t="shared" si="1"/>
        <v>-2.6406290297131818E-4</v>
      </c>
      <c r="R19" s="2">
        <f t="shared" si="2"/>
        <v>9.0266738755732643</v>
      </c>
      <c r="S19" s="2">
        <f t="shared" si="3"/>
        <v>-4.5888638364743883E-5</v>
      </c>
    </row>
    <row r="20" spans="1:19" x14ac:dyDescent="0.2">
      <c r="A20" s="10" t="s">
        <v>30</v>
      </c>
      <c r="B20" s="22">
        <v>-2.1314335E-2</v>
      </c>
      <c r="C20">
        <v>4.4379850999999998E-3</v>
      </c>
      <c r="D20">
        <v>-4.8029999999999999</v>
      </c>
      <c r="F20">
        <v>5.1200000000000001E-6</v>
      </c>
      <c r="G20" t="s">
        <v>21</v>
      </c>
      <c r="L20" s="8">
        <v>19</v>
      </c>
      <c r="M20">
        <v>297.81</v>
      </c>
      <c r="N20">
        <v>3.0430000000000001</v>
      </c>
      <c r="O20" s="2">
        <v>8.9785222278566614</v>
      </c>
      <c r="P20" s="2">
        <f t="shared" si="0"/>
        <v>8.9821199102694838</v>
      </c>
      <c r="Q20" s="2">
        <f t="shared" si="1"/>
        <v>-3.5976824128223228E-3</v>
      </c>
      <c r="R20" s="2">
        <f t="shared" si="2"/>
        <v>8.981901674762879</v>
      </c>
      <c r="S20" s="2">
        <f t="shared" si="3"/>
        <v>-3.3794469062176091E-3</v>
      </c>
    </row>
    <row r="21" spans="1:19" x14ac:dyDescent="0.2">
      <c r="A21" s="10" t="s">
        <v>43</v>
      </c>
      <c r="B21" s="23">
        <v>1.8275899999999999E-5</v>
      </c>
      <c r="C21">
        <v>3.467E-7</v>
      </c>
      <c r="D21">
        <v>52.715000000000003</v>
      </c>
      <c r="E21" t="s">
        <v>20</v>
      </c>
      <c r="F21">
        <v>2E-16</v>
      </c>
      <c r="G21" t="s">
        <v>21</v>
      </c>
      <c r="L21" s="8">
        <v>20</v>
      </c>
      <c r="M21" s="3">
        <v>302.27</v>
      </c>
      <c r="N21">
        <v>3.0430000000000001</v>
      </c>
      <c r="O21" s="2">
        <v>8.9413681714099003</v>
      </c>
      <c r="P21" s="2">
        <f t="shared" si="0"/>
        <v>8.9413962560851328</v>
      </c>
      <c r="Q21" s="2">
        <f t="shared" si="1"/>
        <v>-2.808467523252034E-5</v>
      </c>
      <c r="R21" s="2">
        <f t="shared" si="2"/>
        <v>8.941177969599071</v>
      </c>
      <c r="S21" s="2">
        <f t="shared" si="3"/>
        <v>1.9020181082929355E-4</v>
      </c>
    </row>
    <row r="22" spans="1:19" x14ac:dyDescent="0.2">
      <c r="A22" s="10" t="s">
        <v>40</v>
      </c>
      <c r="L22" s="8">
        <v>21</v>
      </c>
      <c r="M22" s="3">
        <v>308.43999999999994</v>
      </c>
      <c r="N22">
        <v>3.0430000000000001</v>
      </c>
      <c r="O22" s="2">
        <v>8.8910888943408608</v>
      </c>
      <c r="P22" s="2">
        <f t="shared" si="0"/>
        <v>8.8890062357923707</v>
      </c>
      <c r="Q22" s="2">
        <f t="shared" si="1"/>
        <v>2.0826585484901017E-3</v>
      </c>
      <c r="R22" s="2">
        <f t="shared" si="2"/>
        <v>8.8887878918274961</v>
      </c>
      <c r="S22" s="2">
        <f t="shared" si="3"/>
        <v>2.301002513364736E-3</v>
      </c>
    </row>
    <row r="23" spans="1:19" x14ac:dyDescent="0.2">
      <c r="A23" s="11" t="s">
        <v>68</v>
      </c>
      <c r="L23" s="8">
        <v>22</v>
      </c>
      <c r="M23" s="3">
        <v>276.26666666666665</v>
      </c>
      <c r="N23">
        <v>4.4669999999999996</v>
      </c>
      <c r="O23" s="2">
        <v>9.1776028068965907</v>
      </c>
      <c r="P23" s="2">
        <f t="shared" si="0"/>
        <v>9.1806077992379826</v>
      </c>
      <c r="Q23" s="2">
        <f t="shared" si="1"/>
        <v>-3.0049923413919544E-3</v>
      </c>
      <c r="R23" s="2">
        <f t="shared" si="2"/>
        <v>9.1803910424948061</v>
      </c>
      <c r="S23" s="2">
        <f t="shared" si="3"/>
        <v>-2.7882355982153939E-3</v>
      </c>
    </row>
    <row r="24" spans="1:19" x14ac:dyDescent="0.2">
      <c r="L24" s="8">
        <v>23</v>
      </c>
      <c r="M24">
        <v>283.55999999999995</v>
      </c>
      <c r="N24">
        <v>5.8970000000000002</v>
      </c>
      <c r="O24" s="2">
        <v>9.0541888318700003</v>
      </c>
      <c r="P24" s="2">
        <f t="shared" si="0"/>
        <v>9.0573866579733551</v>
      </c>
      <c r="Q24" s="2">
        <f t="shared" si="1"/>
        <v>-3.1978261033547284E-3</v>
      </c>
      <c r="R24" s="2">
        <f t="shared" si="2"/>
        <v>9.0571727635758315</v>
      </c>
      <c r="S24" s="2">
        <f t="shared" si="3"/>
        <v>-2.983931705831111E-3</v>
      </c>
    </row>
    <row r="25" spans="1:19" x14ac:dyDescent="0.2">
      <c r="L25" s="17">
        <v>24</v>
      </c>
      <c r="M25">
        <v>288.49</v>
      </c>
      <c r="N25">
        <v>5.8970000000000002</v>
      </c>
      <c r="O25" s="2">
        <v>9.0003452256033594</v>
      </c>
      <c r="P25" s="2">
        <f t="shared" si="0"/>
        <v>9.0010417342067015</v>
      </c>
      <c r="Q25" s="2">
        <f t="shared" si="1"/>
        <v>-6.965086033421386E-4</v>
      </c>
      <c r="R25" s="2">
        <f t="shared" si="2"/>
        <v>9.0008278393587435</v>
      </c>
      <c r="S25" s="2">
        <f t="shared" si="3"/>
        <v>-4.8261375538416473E-4</v>
      </c>
    </row>
    <row r="26" spans="1:19" x14ac:dyDescent="0.2">
      <c r="L26" s="8">
        <v>25</v>
      </c>
      <c r="M26">
        <v>293.2</v>
      </c>
      <c r="N26" s="4">
        <v>5.9045000000000005</v>
      </c>
      <c r="O26" s="2">
        <v>8.9526014268523291</v>
      </c>
      <c r="P26" s="2">
        <f t="shared" si="0"/>
        <v>8.9503923830916712</v>
      </c>
      <c r="Q26" s="2">
        <f t="shared" si="1"/>
        <v>2.2090437606578917E-3</v>
      </c>
      <c r="R26" s="2">
        <f t="shared" si="2"/>
        <v>8.9501785192801275</v>
      </c>
      <c r="S26" s="2">
        <f t="shared" si="3"/>
        <v>2.4229075722015381E-3</v>
      </c>
    </row>
    <row r="27" spans="1:19" x14ac:dyDescent="0.2">
      <c r="B27">
        <v>-60.043849999999999</v>
      </c>
      <c r="L27" s="8">
        <v>26</v>
      </c>
      <c r="M27">
        <v>297.95</v>
      </c>
      <c r="N27">
        <v>5.9119999999999999</v>
      </c>
      <c r="O27" s="6">
        <v>8.9035137762001355</v>
      </c>
      <c r="P27" s="2">
        <f t="shared" si="0"/>
        <v>8.9022772123213496</v>
      </c>
      <c r="Q27" s="2">
        <f t="shared" si="1"/>
        <v>1.2365638787859012E-3</v>
      </c>
      <c r="R27" s="2">
        <f t="shared" si="2"/>
        <v>8.9020633923539449</v>
      </c>
      <c r="S27" s="2">
        <f t="shared" si="3"/>
        <v>1.4503838461905616E-3</v>
      </c>
    </row>
    <row r="28" spans="1:19" x14ac:dyDescent="0.2">
      <c r="B28">
        <v>88.294430000000006</v>
      </c>
      <c r="L28" s="8">
        <v>27</v>
      </c>
      <c r="M28">
        <v>302.53999999999996</v>
      </c>
      <c r="N28">
        <v>5.8970000000000002</v>
      </c>
      <c r="O28" s="2">
        <v>8.8553200332502069</v>
      </c>
      <c r="P28" s="2">
        <f t="shared" si="0"/>
        <v>8.8588276881405736</v>
      </c>
      <c r="Q28" s="2">
        <f t="shared" si="1"/>
        <v>-3.5076548903667515E-3</v>
      </c>
      <c r="R28" s="2">
        <f t="shared" si="2"/>
        <v>8.8586138658410203</v>
      </c>
      <c r="S28" s="2">
        <f t="shared" si="3"/>
        <v>-3.2938325908133947E-3</v>
      </c>
    </row>
    <row r="29" spans="1:19" x14ac:dyDescent="0.2">
      <c r="B29">
        <v>3709.0839999999998</v>
      </c>
      <c r="L29" s="8">
        <v>28</v>
      </c>
      <c r="M29">
        <v>307.60999999999996</v>
      </c>
      <c r="N29">
        <v>5.8970000000000002</v>
      </c>
      <c r="O29" s="6">
        <v>8.8097999999999992</v>
      </c>
      <c r="P29" s="2">
        <f t="shared" si="0"/>
        <v>8.8130541659241644</v>
      </c>
      <c r="Q29" s="2">
        <f t="shared" si="1"/>
        <v>-3.2541659241651644E-3</v>
      </c>
      <c r="R29" s="2">
        <f t="shared" si="2"/>
        <v>8.8128403947670488</v>
      </c>
      <c r="S29" s="2">
        <f t="shared" si="3"/>
        <v>-3.0403947670496478E-3</v>
      </c>
    </row>
    <row r="30" spans="1:19" x14ac:dyDescent="0.2">
      <c r="B30">
        <v>2982.6981999999998</v>
      </c>
      <c r="L30" s="17">
        <v>29</v>
      </c>
      <c r="M30" s="3">
        <v>275.41999999999996</v>
      </c>
      <c r="N30">
        <v>14.657</v>
      </c>
      <c r="O30" s="6">
        <v>9.0316803419232201</v>
      </c>
      <c r="P30" s="2">
        <f t="shared" si="0"/>
        <v>9.0311811315377764</v>
      </c>
      <c r="Q30" s="2">
        <f t="shared" si="1"/>
        <v>4.9921038544376017E-4</v>
      </c>
      <c r="R30" s="2">
        <f t="shared" si="2"/>
        <v>9.0309935698105779</v>
      </c>
      <c r="S30" s="2">
        <f t="shared" si="3"/>
        <v>6.8677211264223104E-4</v>
      </c>
    </row>
    <row r="31" spans="1:19" x14ac:dyDescent="0.2">
      <c r="B31">
        <v>-7.8358849999999994E-2</v>
      </c>
      <c r="L31" s="8">
        <v>30</v>
      </c>
      <c r="M31" s="3">
        <v>283.47999999999996</v>
      </c>
      <c r="N31">
        <v>14.657</v>
      </c>
      <c r="O31" s="6">
        <v>8.9275832146671412</v>
      </c>
      <c r="P31" s="2">
        <f t="shared" si="0"/>
        <v>8.9275495320070011</v>
      </c>
      <c r="Q31" s="2">
        <f t="shared" si="1"/>
        <v>3.3682660140144094E-5</v>
      </c>
      <c r="R31" s="2">
        <f t="shared" si="2"/>
        <v>8.9273623078686661</v>
      </c>
      <c r="S31" s="2">
        <f t="shared" si="3"/>
        <v>2.2090679847508454E-4</v>
      </c>
    </row>
    <row r="32" spans="1:19" x14ac:dyDescent="0.2">
      <c r="B32">
        <v>9.9762129999999996</v>
      </c>
      <c r="L32" s="8">
        <v>31</v>
      </c>
      <c r="M32" s="3">
        <v>288.64499999999998</v>
      </c>
      <c r="N32" s="1">
        <v>14.52</v>
      </c>
      <c r="O32" s="2">
        <v>8.8662283578174197</v>
      </c>
      <c r="P32" s="2">
        <f t="shared" si="0"/>
        <v>8.8677173467428005</v>
      </c>
      <c r="Q32" s="2">
        <f t="shared" si="1"/>
        <v>-1.4889889253808519E-3</v>
      </c>
      <c r="R32" s="2">
        <f t="shared" si="2"/>
        <v>8.8675299221739632</v>
      </c>
      <c r="S32" s="2">
        <f t="shared" si="3"/>
        <v>-1.3015643565434942E-3</v>
      </c>
    </row>
    <row r="33" spans="2:19" x14ac:dyDescent="0.2">
      <c r="B33">
        <v>-524.5915</v>
      </c>
      <c r="L33" s="17">
        <v>32</v>
      </c>
      <c r="M33" s="3">
        <v>293.15499999999997</v>
      </c>
      <c r="N33" s="1">
        <v>14.52</v>
      </c>
      <c r="O33" s="2">
        <v>8.8143630737493002</v>
      </c>
      <c r="P33" s="2">
        <f t="shared" si="0"/>
        <v>8.8168364246129673</v>
      </c>
      <c r="Q33" s="2">
        <f t="shared" si="1"/>
        <v>-2.4733508636671786E-3</v>
      </c>
      <c r="R33" s="2">
        <f t="shared" si="2"/>
        <v>8.8166492289367451</v>
      </c>
      <c r="S33" s="2">
        <f t="shared" si="3"/>
        <v>-2.2861551874449049E-3</v>
      </c>
    </row>
    <row r="34" spans="2:19" x14ac:dyDescent="0.2">
      <c r="B34" s="22">
        <v>-2.1314335E-2</v>
      </c>
      <c r="L34" s="8">
        <v>33</v>
      </c>
      <c r="M34" s="3">
        <v>297.97499999999997</v>
      </c>
      <c r="N34">
        <v>15.743</v>
      </c>
      <c r="O34" s="6">
        <v>8.7530373140635582</v>
      </c>
      <c r="P34" s="2">
        <f t="shared" si="0"/>
        <v>8.7507416802864562</v>
      </c>
      <c r="Q34" s="2">
        <f t="shared" si="1"/>
        <v>2.2956337771020685E-3</v>
      </c>
      <c r="R34" s="2">
        <f t="shared" si="2"/>
        <v>8.7505587880003795</v>
      </c>
      <c r="S34" s="2">
        <f t="shared" si="3"/>
        <v>2.4785260631787764E-3</v>
      </c>
    </row>
    <row r="35" spans="2:19" x14ac:dyDescent="0.2">
      <c r="B35">
        <v>1.8280000000000001E-5</v>
      </c>
      <c r="L35" s="8">
        <v>34</v>
      </c>
      <c r="M35" s="3">
        <v>302.92500000000001</v>
      </c>
      <c r="N35">
        <v>15.743</v>
      </c>
      <c r="O35" s="2">
        <v>8.702070864505405</v>
      </c>
      <c r="P35" s="2">
        <f t="shared" si="0"/>
        <v>8.6990703461730448</v>
      </c>
      <c r="Q35" s="2">
        <f t="shared" si="1"/>
        <v>3.000518332360258E-3</v>
      </c>
      <c r="R35" s="2">
        <f t="shared" si="2"/>
        <v>8.6988877739321619</v>
      </c>
      <c r="S35" s="2">
        <f t="shared" si="3"/>
        <v>3.1830905732430637E-3</v>
      </c>
    </row>
    <row r="36" spans="2:19" x14ac:dyDescent="0.2">
      <c r="L36" s="8">
        <v>35</v>
      </c>
      <c r="M36">
        <v>307.89</v>
      </c>
      <c r="N36" s="1">
        <v>14.52</v>
      </c>
      <c r="O36" s="2">
        <v>8.6611999999999991</v>
      </c>
      <c r="P36" s="2">
        <f t="shared" si="0"/>
        <v>8.6640806248670437</v>
      </c>
      <c r="Q36" s="2">
        <f t="shared" si="1"/>
        <v>-2.8806248670445456E-3</v>
      </c>
      <c r="R36" s="2">
        <f t="shared" si="2"/>
        <v>8.6638942831441845</v>
      </c>
      <c r="S36" s="2">
        <f t="shared" si="3"/>
        <v>-2.6942831441854054E-3</v>
      </c>
    </row>
    <row r="37" spans="2:19" x14ac:dyDescent="0.2">
      <c r="L37" s="8">
        <v>36</v>
      </c>
      <c r="M37" s="3">
        <v>275.38</v>
      </c>
      <c r="N37" s="4">
        <v>24.65</v>
      </c>
      <c r="O37" s="2">
        <v>8.9433744863989997</v>
      </c>
      <c r="P37" s="2">
        <f t="shared" si="0"/>
        <v>8.9444833717497758</v>
      </c>
      <c r="Q37" s="2">
        <f t="shared" si="1"/>
        <v>-1.1088853507761343E-3</v>
      </c>
      <c r="R37" s="2">
        <f t="shared" si="2"/>
        <v>8.9443271569909886</v>
      </c>
      <c r="S37" s="2">
        <f t="shared" si="3"/>
        <v>-9.5267059198889115E-4</v>
      </c>
    </row>
    <row r="38" spans="2:19" x14ac:dyDescent="0.2">
      <c r="L38" s="8">
        <v>37</v>
      </c>
      <c r="M38" s="3">
        <v>283.58499999999998</v>
      </c>
      <c r="N38" s="4">
        <v>24.65</v>
      </c>
      <c r="O38" s="2">
        <v>8.8398284531861879</v>
      </c>
      <c r="P38" s="2">
        <f t="shared" si="0"/>
        <v>8.8373024738705919</v>
      </c>
      <c r="Q38" s="2">
        <f t="shared" si="1"/>
        <v>2.5259793155960608E-3</v>
      </c>
      <c r="R38" s="2">
        <f t="shared" si="2"/>
        <v>8.8371470059558561</v>
      </c>
      <c r="S38" s="2">
        <f t="shared" si="3"/>
        <v>2.6814472303318126E-3</v>
      </c>
    </row>
    <row r="39" spans="2:19" x14ac:dyDescent="0.2">
      <c r="L39" s="8">
        <v>38</v>
      </c>
      <c r="M39">
        <v>288.58</v>
      </c>
      <c r="N39" s="4">
        <v>24.65</v>
      </c>
      <c r="O39" s="2">
        <v>8.7743529206016078</v>
      </c>
      <c r="P39" s="2">
        <f t="shared" si="0"/>
        <v>8.7763475474265906</v>
      </c>
      <c r="Q39" s="2">
        <f t="shared" si="1"/>
        <v>-1.9946268249828591E-3</v>
      </c>
      <c r="R39" s="2">
        <f t="shared" si="2"/>
        <v>8.776192569314512</v>
      </c>
      <c r="S39" s="2">
        <f t="shared" si="3"/>
        <v>-1.8396487129042072E-3</v>
      </c>
    </row>
    <row r="40" spans="2:19" x14ac:dyDescent="0.2">
      <c r="L40" s="8">
        <v>39</v>
      </c>
      <c r="M40" s="3">
        <v>293.30499999999995</v>
      </c>
      <c r="N40" s="4">
        <v>24.65</v>
      </c>
      <c r="O40" s="2">
        <v>8.7233808234485117</v>
      </c>
      <c r="P40" s="2">
        <f t="shared" si="0"/>
        <v>8.7210575950023372</v>
      </c>
      <c r="Q40" s="2">
        <f t="shared" si="1"/>
        <v>2.3232284461744968E-3</v>
      </c>
      <c r="R40" s="2">
        <f t="shared" si="2"/>
        <v>8.720903103303268</v>
      </c>
      <c r="S40" s="2">
        <f t="shared" si="3"/>
        <v>2.4777201452437225E-3</v>
      </c>
    </row>
    <row r="41" spans="2:19" x14ac:dyDescent="0.2">
      <c r="L41" s="8">
        <v>40</v>
      </c>
      <c r="M41">
        <v>298.35000000000002</v>
      </c>
      <c r="N41" s="4">
        <v>24.65</v>
      </c>
      <c r="O41" s="2">
        <v>8.6677184646426415</v>
      </c>
      <c r="P41" s="2">
        <f t="shared" si="0"/>
        <v>8.6640767163087347</v>
      </c>
      <c r="Q41" s="2">
        <f t="shared" si="1"/>
        <v>3.6417483339068468E-3</v>
      </c>
      <c r="R41" s="2">
        <f t="shared" si="2"/>
        <v>8.663922767601564</v>
      </c>
      <c r="S41" s="2">
        <f t="shared" si="3"/>
        <v>3.795697041077517E-3</v>
      </c>
    </row>
    <row r="42" spans="2:19" x14ac:dyDescent="0.2">
      <c r="L42" s="8">
        <v>41</v>
      </c>
      <c r="M42">
        <v>301.95999999999998</v>
      </c>
      <c r="N42" s="4">
        <v>24.65</v>
      </c>
      <c r="O42" s="2">
        <v>8.6204332917705724</v>
      </c>
      <c r="P42" s="2">
        <f t="shared" si="0"/>
        <v>8.6243479792840319</v>
      </c>
      <c r="Q42" s="2">
        <f t="shared" si="1"/>
        <v>-3.9146875134594694E-3</v>
      </c>
      <c r="R42" s="2">
        <f t="shared" si="2"/>
        <v>8.6241944334869487</v>
      </c>
      <c r="S42" s="2">
        <f t="shared" si="3"/>
        <v>-3.761141716376315E-3</v>
      </c>
    </row>
    <row r="43" spans="2:19" x14ac:dyDescent="0.2">
      <c r="L43" s="17">
        <v>42</v>
      </c>
      <c r="M43">
        <v>306.97999999999996</v>
      </c>
      <c r="N43" s="4">
        <v>24.65</v>
      </c>
      <c r="O43" s="2">
        <v>8.5684872015047997</v>
      </c>
      <c r="P43" s="2">
        <f t="shared" si="0"/>
        <v>8.570216914981625</v>
      </c>
      <c r="Q43" s="2">
        <f t="shared" si="1"/>
        <v>-1.7297134768252675E-3</v>
      </c>
      <c r="R43" s="2">
        <f t="shared" si="2"/>
        <v>8.570063948560545</v>
      </c>
      <c r="S43" s="2">
        <f t="shared" si="3"/>
        <v>-1.5767470557452867E-3</v>
      </c>
    </row>
    <row r="44" spans="2:19" x14ac:dyDescent="0.2">
      <c r="L44" s="8">
        <v>43</v>
      </c>
      <c r="M44" s="3">
        <v>275.495</v>
      </c>
      <c r="N44" s="4">
        <v>35.795000000000002</v>
      </c>
      <c r="O44" s="2">
        <v>8.8763578473235789</v>
      </c>
      <c r="P44" s="2">
        <f t="shared" si="0"/>
        <v>8.8766435615139176</v>
      </c>
      <c r="Q44" s="2">
        <f t="shared" si="1"/>
        <v>-2.8571419033873724E-4</v>
      </c>
      <c r="R44" s="2">
        <f t="shared" si="2"/>
        <v>8.8765204418170445</v>
      </c>
      <c r="S44" s="2">
        <f t="shared" si="3"/>
        <v>-1.625944934655621E-4</v>
      </c>
    </row>
    <row r="45" spans="2:19" x14ac:dyDescent="0.2">
      <c r="L45" s="8">
        <v>44</v>
      </c>
      <c r="M45">
        <v>283.64</v>
      </c>
      <c r="N45">
        <v>35.723999999999997</v>
      </c>
      <c r="O45" s="2">
        <v>8.7697320279751008</v>
      </c>
      <c r="P45" s="2">
        <f t="shared" si="0"/>
        <v>8.7694931078293408</v>
      </c>
      <c r="Q45" s="2">
        <f t="shared" si="1"/>
        <v>2.3892014575999099E-4</v>
      </c>
      <c r="R45" s="2">
        <f t="shared" si="2"/>
        <v>8.7693709547636232</v>
      </c>
      <c r="S45" s="2">
        <f t="shared" si="3"/>
        <v>3.6107321147760274E-4</v>
      </c>
    </row>
    <row r="46" spans="2:19" x14ac:dyDescent="0.2">
      <c r="L46" s="8">
        <v>45</v>
      </c>
      <c r="M46">
        <v>287.95999999999998</v>
      </c>
      <c r="N46">
        <v>36.853999999999999</v>
      </c>
      <c r="O46" s="2">
        <v>8.7066172612801669</v>
      </c>
      <c r="P46" s="2">
        <f t="shared" si="0"/>
        <v>8.7098515612845286</v>
      </c>
      <c r="Q46" s="2">
        <f t="shared" si="1"/>
        <v>-3.2343000043617565E-3</v>
      </c>
      <c r="R46" s="2">
        <f t="shared" si="2"/>
        <v>8.7097333755372404</v>
      </c>
      <c r="S46" s="2">
        <f t="shared" si="3"/>
        <v>-3.1161142570734768E-3</v>
      </c>
    </row>
    <row r="47" spans="2:19" x14ac:dyDescent="0.2">
      <c r="L47" s="8">
        <v>46</v>
      </c>
      <c r="M47">
        <v>293.13</v>
      </c>
      <c r="N47">
        <v>35.570999999999998</v>
      </c>
      <c r="O47" s="2">
        <v>8.6511679130135803</v>
      </c>
      <c r="P47" s="2">
        <f t="shared" si="0"/>
        <v>8.6540351376306219</v>
      </c>
      <c r="Q47" s="2">
        <f t="shared" si="1"/>
        <v>-2.867224617041586E-3</v>
      </c>
      <c r="R47" s="2">
        <f t="shared" si="2"/>
        <v>8.6539139983776288</v>
      </c>
      <c r="S47" s="2">
        <f t="shared" si="3"/>
        <v>-2.7460853640484117E-3</v>
      </c>
    </row>
    <row r="48" spans="2:19" x14ac:dyDescent="0.2">
      <c r="L48" s="8">
        <v>47</v>
      </c>
      <c r="M48">
        <v>297.67999999999995</v>
      </c>
      <c r="N48">
        <v>35.564</v>
      </c>
      <c r="O48" s="2">
        <v>8.6022861730899294</v>
      </c>
      <c r="P48" s="2">
        <f t="shared" si="0"/>
        <v>8.6006656089188276</v>
      </c>
      <c r="Q48" s="2">
        <f t="shared" si="1"/>
        <v>1.6205641711017904E-3</v>
      </c>
      <c r="R48" s="2">
        <f t="shared" si="2"/>
        <v>8.6005451855694588</v>
      </c>
      <c r="S48" s="2">
        <f t="shared" si="3"/>
        <v>1.7409875204705827E-3</v>
      </c>
    </row>
    <row r="49" spans="12:19" x14ac:dyDescent="0.2">
      <c r="L49" s="8">
        <v>48</v>
      </c>
      <c r="M49">
        <v>303.14999999999998</v>
      </c>
      <c r="N49">
        <v>35.723999999999997</v>
      </c>
      <c r="O49" s="2">
        <v>8.5391832917705734</v>
      </c>
      <c r="P49" s="2">
        <f t="shared" si="0"/>
        <v>8.536812391333962</v>
      </c>
      <c r="Q49" s="2">
        <f t="shared" si="1"/>
        <v>2.3709004366114783E-3</v>
      </c>
      <c r="R49" s="2">
        <f t="shared" si="2"/>
        <v>8.5366933656264301</v>
      </c>
      <c r="S49" s="2">
        <f t="shared" si="3"/>
        <v>2.4899261441433396E-3</v>
      </c>
    </row>
    <row r="50" spans="12:19" x14ac:dyDescent="0.2">
      <c r="L50" s="8">
        <v>49</v>
      </c>
      <c r="M50" s="3">
        <v>307.22499999999997</v>
      </c>
      <c r="N50">
        <v>35.723999999999997</v>
      </c>
      <c r="O50" s="2">
        <v>8.4930603123977768</v>
      </c>
      <c r="P50" s="2">
        <f t="shared" si="0"/>
        <v>8.4904516283256015</v>
      </c>
      <c r="Q50" s="2">
        <f t="shared" si="1"/>
        <v>2.6086840721752935E-3</v>
      </c>
      <c r="R50" s="2">
        <f t="shared" si="2"/>
        <v>8.4903333076389824</v>
      </c>
      <c r="S50" s="2">
        <f t="shared" si="3"/>
        <v>2.7270047587943935E-3</v>
      </c>
    </row>
    <row r="51" spans="12:19" x14ac:dyDescent="0.2">
      <c r="L51" s="8">
        <v>50</v>
      </c>
      <c r="M51" s="3">
        <v>275.14999999999998</v>
      </c>
      <c r="N51">
        <v>45.658000000000001</v>
      </c>
      <c r="O51" s="2">
        <v>8.8384531861899998</v>
      </c>
      <c r="P51" s="2">
        <f t="shared" si="0"/>
        <v>8.8383446545013502</v>
      </c>
      <c r="Q51" s="2">
        <f t="shared" si="1"/>
        <v>1.085316886495491E-4</v>
      </c>
      <c r="R51" s="2">
        <f t="shared" si="2"/>
        <v>8.8382491916431007</v>
      </c>
      <c r="S51" s="2">
        <f t="shared" si="3"/>
        <v>2.039945468990112E-4</v>
      </c>
    </row>
    <row r="52" spans="12:19" x14ac:dyDescent="0.2">
      <c r="L52" s="8">
        <v>51</v>
      </c>
      <c r="M52">
        <v>283.65999999999997</v>
      </c>
      <c r="N52">
        <v>45.658000000000001</v>
      </c>
      <c r="O52" s="6">
        <v>8.7259645336418661</v>
      </c>
      <c r="P52" s="2">
        <f t="shared" si="0"/>
        <v>8.7250852946879256</v>
      </c>
      <c r="Q52" s="2">
        <f t="shared" si="1"/>
        <v>8.7923895394048657E-4</v>
      </c>
      <c r="R52" s="2">
        <f t="shared" si="2"/>
        <v>8.7249914476873887</v>
      </c>
      <c r="S52" s="2">
        <f t="shared" si="3"/>
        <v>9.7308595447742618E-4</v>
      </c>
    </row>
    <row r="53" spans="12:19" x14ac:dyDescent="0.2">
      <c r="L53" s="8">
        <v>52</v>
      </c>
      <c r="M53">
        <v>288.45999999999998</v>
      </c>
      <c r="N53">
        <v>45.865000000000002</v>
      </c>
      <c r="O53" s="2">
        <v>8.6652015770473199</v>
      </c>
      <c r="P53" s="2">
        <f t="shared" si="0"/>
        <v>8.6637127465717718</v>
      </c>
      <c r="Q53" s="2">
        <f t="shared" si="1"/>
        <v>1.4888304755480419E-3</v>
      </c>
      <c r="R53" s="2">
        <f t="shared" si="2"/>
        <v>8.663620436171156</v>
      </c>
      <c r="S53" s="2">
        <f t="shared" si="3"/>
        <v>1.5811408761639001E-3</v>
      </c>
    </row>
    <row r="54" spans="12:19" x14ac:dyDescent="0.2">
      <c r="L54" s="8">
        <v>53</v>
      </c>
      <c r="M54">
        <v>293.38</v>
      </c>
      <c r="N54">
        <v>45.865000000000002</v>
      </c>
      <c r="O54" s="2">
        <v>8.6016309523809493</v>
      </c>
      <c r="P54" s="2">
        <f t="shared" si="0"/>
        <v>8.6033450464491974</v>
      </c>
      <c r="Q54" s="2">
        <f t="shared" si="1"/>
        <v>-1.7140940682480732E-3</v>
      </c>
      <c r="R54" s="2">
        <f t="shared" si="2"/>
        <v>8.603253752200219</v>
      </c>
      <c r="S54" s="2">
        <f t="shared" si="3"/>
        <v>-1.6227998192697157E-3</v>
      </c>
    </row>
    <row r="55" spans="12:19" x14ac:dyDescent="0.2">
      <c r="L55" s="17">
        <v>54</v>
      </c>
      <c r="M55">
        <v>297.83</v>
      </c>
      <c r="N55">
        <v>45.865000000000002</v>
      </c>
      <c r="O55" s="2">
        <v>8.5493426132522004</v>
      </c>
      <c r="P55" s="2">
        <f t="shared" si="0"/>
        <v>8.5497811019140517</v>
      </c>
      <c r="Q55" s="2">
        <f t="shared" si="1"/>
        <v>-4.3848866185136615E-4</v>
      </c>
      <c r="R55" s="2">
        <f t="shared" si="2"/>
        <v>8.5496907529558168</v>
      </c>
      <c r="S55" s="2">
        <f t="shared" si="3"/>
        <v>-3.4813970361646795E-4</v>
      </c>
    </row>
    <row r="56" spans="12:19" x14ac:dyDescent="0.2">
      <c r="L56" s="8">
        <v>55</v>
      </c>
      <c r="M56">
        <v>302.07</v>
      </c>
      <c r="N56">
        <v>45.865000000000002</v>
      </c>
      <c r="O56" s="2">
        <v>8.4994064415700006</v>
      </c>
      <c r="P56" s="2">
        <f t="shared" si="0"/>
        <v>8.4993046968326027</v>
      </c>
      <c r="Q56" s="2">
        <f t="shared" si="1"/>
        <v>1.017447373978797E-4</v>
      </c>
      <c r="R56" s="2">
        <f t="shared" si="2"/>
        <v>8.4992152707359292</v>
      </c>
      <c r="S56" s="2">
        <f t="shared" si="3"/>
        <v>1.911708340713858E-4</v>
      </c>
    </row>
    <row r="57" spans="12:19" x14ac:dyDescent="0.2">
      <c r="L57" s="8">
        <v>56</v>
      </c>
      <c r="M57">
        <v>307.74</v>
      </c>
      <c r="N57">
        <v>45.865000000000002</v>
      </c>
      <c r="O57" s="2">
        <v>8.4350603123977805</v>
      </c>
      <c r="P57" s="2">
        <f t="shared" si="0"/>
        <v>8.4321381964922839</v>
      </c>
      <c r="Q57" s="2">
        <f t="shared" si="1"/>
        <v>2.922115905496625E-3</v>
      </c>
      <c r="R57" s="2">
        <f t="shared" si="2"/>
        <v>8.4320500368479063</v>
      </c>
      <c r="S57" s="2">
        <f t="shared" si="3"/>
        <v>3.0102755498742084E-3</v>
      </c>
    </row>
    <row r="58" spans="12:19" x14ac:dyDescent="0.2">
      <c r="L58" s="8">
        <v>57</v>
      </c>
      <c r="M58">
        <v>273.14999999999998</v>
      </c>
      <c r="N58">
        <v>0</v>
      </c>
      <c r="O58" s="2">
        <v>9.5025585923890397</v>
      </c>
      <c r="P58" s="2">
        <f t="shared" si="0"/>
        <v>9.5018388331295824</v>
      </c>
      <c r="Q58" s="2">
        <f t="shared" si="1"/>
        <v>7.1975925945721997E-4</v>
      </c>
      <c r="R58" s="2">
        <f t="shared" si="2"/>
        <v>9.5017197756662739</v>
      </c>
      <c r="S58" s="2">
        <f t="shared" si="3"/>
        <v>8.3881672276575614E-4</v>
      </c>
    </row>
    <row r="59" spans="12:19" x14ac:dyDescent="0.2">
      <c r="L59" s="8">
        <v>58</v>
      </c>
      <c r="M59">
        <v>278.14999999999998</v>
      </c>
      <c r="N59">
        <v>0</v>
      </c>
      <c r="O59" s="2">
        <v>9.4387683825509363</v>
      </c>
      <c r="P59" s="2">
        <f t="shared" si="0"/>
        <v>9.4387081558477917</v>
      </c>
      <c r="Q59" s="2">
        <f t="shared" si="1"/>
        <v>6.0226703144650173E-5</v>
      </c>
      <c r="R59" s="2">
        <f t="shared" si="2"/>
        <v>9.4385888672552483</v>
      </c>
      <c r="S59" s="2">
        <f t="shared" si="3"/>
        <v>1.7951529568804858E-4</v>
      </c>
    </row>
    <row r="60" spans="12:19" x14ac:dyDescent="0.2">
      <c r="L60" s="8">
        <v>59</v>
      </c>
      <c r="M60">
        <v>283.14999999999998</v>
      </c>
      <c r="N60">
        <v>0</v>
      </c>
      <c r="O60" s="2">
        <v>9.3805996831057872</v>
      </c>
      <c r="P60" s="2">
        <f t="shared" si="0"/>
        <v>9.3809739564354047</v>
      </c>
      <c r="Q60" s="2">
        <f t="shared" si="1"/>
        <v>-3.742733296174805E-4</v>
      </c>
      <c r="R60" s="2">
        <f t="shared" si="2"/>
        <v>9.3808544407817749</v>
      </c>
      <c r="S60" s="2">
        <f t="shared" si="3"/>
        <v>-2.547576759877046E-4</v>
      </c>
    </row>
    <row r="61" spans="12:19" x14ac:dyDescent="0.2">
      <c r="L61" s="8">
        <v>60</v>
      </c>
      <c r="M61">
        <v>288.14999999999998</v>
      </c>
      <c r="N61">
        <v>0</v>
      </c>
      <c r="O61" s="2">
        <v>9.327701400560402</v>
      </c>
      <c r="P61" s="2">
        <f t="shared" si="0"/>
        <v>9.3283003567135552</v>
      </c>
      <c r="Q61" s="2">
        <f t="shared" si="1"/>
        <v>-5.9895615315319617E-4</v>
      </c>
      <c r="R61" s="2">
        <f t="shared" si="2"/>
        <v>9.3281806179262361</v>
      </c>
      <c r="S61" s="2">
        <f t="shared" si="3"/>
        <v>-4.79217365834117E-4</v>
      </c>
    </row>
    <row r="62" spans="12:19" x14ac:dyDescent="0.2">
      <c r="L62" s="8">
        <v>61</v>
      </c>
      <c r="M62">
        <v>293.14999999999998</v>
      </c>
      <c r="N62">
        <v>0</v>
      </c>
      <c r="O62" s="2">
        <v>9.279748389054344</v>
      </c>
      <c r="P62" s="2">
        <f t="shared" si="0"/>
        <v>9.2803762686352869</v>
      </c>
      <c r="Q62" s="2">
        <f t="shared" si="1"/>
        <v>-6.2787958094290275E-4</v>
      </c>
      <c r="R62" s="2">
        <f t="shared" si="2"/>
        <v>9.2802563105081788</v>
      </c>
      <c r="S62" s="2">
        <f t="shared" si="3"/>
        <v>-5.0792145383482534E-4</v>
      </c>
    </row>
    <row r="63" spans="12:19" x14ac:dyDescent="0.2">
      <c r="L63" s="8">
        <v>62</v>
      </c>
      <c r="M63">
        <v>298.14999999999998</v>
      </c>
      <c r="N63">
        <v>0</v>
      </c>
      <c r="O63" s="2">
        <v>9.236439174278031</v>
      </c>
      <c r="P63" s="2">
        <f t="shared" si="0"/>
        <v>9.2369132212710738</v>
      </c>
      <c r="Q63" s="2">
        <f t="shared" si="1"/>
        <v>-4.740469930428759E-4</v>
      </c>
      <c r="R63" s="2">
        <f t="shared" si="2"/>
        <v>9.2367930474712097</v>
      </c>
      <c r="S63" s="2">
        <f t="shared" si="3"/>
        <v>-3.5387319317869981E-4</v>
      </c>
    </row>
    <row r="64" spans="12:19" x14ac:dyDescent="0.2">
      <c r="L64" s="8">
        <v>63</v>
      </c>
      <c r="M64">
        <v>303.14999999999998</v>
      </c>
      <c r="N64">
        <v>0</v>
      </c>
      <c r="O64" s="2">
        <v>9.197493909256881</v>
      </c>
      <c r="P64" s="2">
        <f t="shared" si="0"/>
        <v>9.1976434090640495</v>
      </c>
      <c r="Q64" s="2">
        <f t="shared" si="1"/>
        <v>-1.4949980716849609E-4</v>
      </c>
      <c r="R64" s="2">
        <f t="shared" si="2"/>
        <v>9.1975230231378688</v>
      </c>
      <c r="S64" s="2">
        <f t="shared" si="3"/>
        <v>-2.9113880987807761E-5</v>
      </c>
    </row>
    <row r="65" spans="12:19" x14ac:dyDescent="0.2">
      <c r="L65" s="8">
        <v>64</v>
      </c>
      <c r="M65">
        <v>308.14999999999998</v>
      </c>
      <c r="N65">
        <v>0</v>
      </c>
      <c r="O65" s="2">
        <v>9.1626525351283945</v>
      </c>
      <c r="P65" s="2">
        <f t="shared" si="0"/>
        <v>9.162317935717688</v>
      </c>
      <c r="Q65" s="2">
        <f t="shared" si="1"/>
        <v>3.3459941070645982E-4</v>
      </c>
      <c r="R65" s="2">
        <f t="shared" si="2"/>
        <v>9.1621973410969204</v>
      </c>
      <c r="S65" s="2">
        <f t="shared" si="3"/>
        <v>4.5519403147409321E-4</v>
      </c>
    </row>
    <row r="66" spans="12:19" x14ac:dyDescent="0.2">
      <c r="L66" s="8">
        <v>65</v>
      </c>
      <c r="M66">
        <v>313.14999999999998</v>
      </c>
      <c r="N66">
        <v>0</v>
      </c>
      <c r="O66" s="2">
        <v>9.1316731235234538</v>
      </c>
      <c r="P66" s="2">
        <f t="shared" si="0"/>
        <v>9.1307052314018478</v>
      </c>
      <c r="Q66" s="2">
        <f t="shared" si="1"/>
        <v>9.6789212160608429E-4</v>
      </c>
      <c r="R66" s="2">
        <f t="shared" si="2"/>
        <v>9.1305844314089484</v>
      </c>
      <c r="S66" s="2">
        <f t="shared" si="3"/>
        <v>1.0886921145054629E-3</v>
      </c>
    </row>
    <row r="67" spans="12:19" x14ac:dyDescent="0.2">
      <c r="L67" s="8">
        <v>66</v>
      </c>
      <c r="M67">
        <v>318.14999999999998</v>
      </c>
      <c r="N67">
        <v>0</v>
      </c>
      <c r="O67" s="2">
        <v>9.104330380148129</v>
      </c>
      <c r="P67" s="2">
        <f t="shared" ref="P67:P117" si="4">$B$13+$B$14*N67^0.5+$B$15*1/M67+$B$16*N67^0.5/M67+$B$17*(N67^0.5/(1+N67^0.5))+$B$18*LN(M67)+$B$19*N67^0.5/LN(M67)+$B$20*N67^0.5*M67+$B$21*N67*M67</f>
        <v>9.102589623810637</v>
      </c>
      <c r="Q67" s="2">
        <f t="shared" ref="Q67:Q117" si="5">O67-P67</f>
        <v>1.7407563374920443E-3</v>
      </c>
      <c r="R67" s="2">
        <f t="shared" ref="R67:R117" si="6">-60.0439+88.29443*N67^0.5+3709.084*1/M67+2982.7*N67^0.5/M67+(-0.07859)*(N67^0.5/(1+N67^0.5))+9.9762*LN(M67)+(-524.5915)*N67^0.5/LN(M67)+(-0.0213143)*N67^0.5*M67+0.00001828*N67*M67</f>
        <v>9.1024686216639523</v>
      </c>
      <c r="S67" s="2">
        <f t="shared" ref="S67:S117" si="7">O67-R67</f>
        <v>1.8617584841766899E-3</v>
      </c>
    </row>
    <row r="68" spans="12:19" x14ac:dyDescent="0.2">
      <c r="L68" s="8">
        <v>67</v>
      </c>
      <c r="M68">
        <v>273.14999999999998</v>
      </c>
      <c r="N68">
        <v>5</v>
      </c>
      <c r="O68" s="2">
        <v>9.2104739427559732</v>
      </c>
      <c r="P68" s="2">
        <f t="shared" si="4"/>
        <v>9.2095248170455246</v>
      </c>
      <c r="Q68" s="2">
        <f t="shared" si="5"/>
        <v>9.4912571044858396E-4</v>
      </c>
      <c r="R68" s="2">
        <f t="shared" si="6"/>
        <v>9.2093090377984073</v>
      </c>
      <c r="S68" s="2">
        <f t="shared" si="7"/>
        <v>1.1649049575659376E-3</v>
      </c>
    </row>
    <row r="69" spans="12:19" x14ac:dyDescent="0.2">
      <c r="L69" s="8">
        <v>68</v>
      </c>
      <c r="M69">
        <v>278.14999999999998</v>
      </c>
      <c r="N69">
        <v>5</v>
      </c>
      <c r="O69" s="2">
        <v>9.1443308931621079</v>
      </c>
      <c r="P69" s="2">
        <f t="shared" si="4"/>
        <v>9.1435367203551987</v>
      </c>
      <c r="Q69" s="2">
        <f t="shared" si="5"/>
        <v>7.9417280690918801E-4</v>
      </c>
      <c r="R69" s="2">
        <f t="shared" si="6"/>
        <v>9.1433208843422094</v>
      </c>
      <c r="S69" s="2">
        <f t="shared" si="7"/>
        <v>1.0100088198985446E-3</v>
      </c>
    </row>
    <row r="70" spans="12:19" x14ac:dyDescent="0.2">
      <c r="L70" s="8">
        <v>69</v>
      </c>
      <c r="M70">
        <v>283.14999999999998</v>
      </c>
      <c r="N70">
        <v>5</v>
      </c>
      <c r="O70" s="2">
        <v>9.0830085123173703</v>
      </c>
      <c r="P70" s="2">
        <f t="shared" si="4"/>
        <v>9.0822243546484085</v>
      </c>
      <c r="Q70" s="2">
        <f t="shared" si="5"/>
        <v>7.8415766896178241E-4</v>
      </c>
      <c r="R70" s="2">
        <f t="shared" si="6"/>
        <v>9.0820084766381228</v>
      </c>
      <c r="S70" s="2">
        <f t="shared" si="7"/>
        <v>1.0000356792474463E-3</v>
      </c>
    </row>
    <row r="71" spans="12:19" x14ac:dyDescent="0.2">
      <c r="L71" s="8">
        <v>70</v>
      </c>
      <c r="M71">
        <v>288.14999999999998</v>
      </c>
      <c r="N71">
        <v>5</v>
      </c>
      <c r="O71" s="2">
        <v>9.0261593646362339</v>
      </c>
      <c r="P71" s="2">
        <f t="shared" si="4"/>
        <v>9.0251243920002189</v>
      </c>
      <c r="Q71" s="2">
        <f t="shared" si="5"/>
        <v>1.0349726360150413E-3</v>
      </c>
      <c r="R71" s="2">
        <f t="shared" si="6"/>
        <v>9.0249084860762174</v>
      </c>
      <c r="S71" s="2">
        <f t="shared" si="7"/>
        <v>1.2508785600164884E-3</v>
      </c>
    </row>
    <row r="72" spans="12:19" x14ac:dyDescent="0.2">
      <c r="L72" s="8">
        <v>71</v>
      </c>
      <c r="M72">
        <v>293.14999999999998</v>
      </c>
      <c r="N72">
        <v>5</v>
      </c>
      <c r="O72" s="2">
        <v>8.9728714317067038</v>
      </c>
      <c r="P72" s="2">
        <f t="shared" si="4"/>
        <v>8.9718133687577808</v>
      </c>
      <c r="Q72" s="2">
        <f t="shared" si="5"/>
        <v>1.0580629489229665E-3</v>
      </c>
      <c r="R72" s="2">
        <f t="shared" si="6"/>
        <v>8.9715974483621999</v>
      </c>
      <c r="S72" s="2">
        <f t="shared" si="7"/>
        <v>1.2739833445039039E-3</v>
      </c>
    </row>
    <row r="73" spans="12:19" x14ac:dyDescent="0.2">
      <c r="L73" s="8">
        <v>72</v>
      </c>
      <c r="M73">
        <v>298.14999999999998</v>
      </c>
      <c r="N73">
        <v>5</v>
      </c>
      <c r="O73" s="2">
        <v>8.9232750018733533</v>
      </c>
      <c r="P73" s="2">
        <f t="shared" si="4"/>
        <v>8.9219038987037553</v>
      </c>
      <c r="Q73" s="2">
        <f t="shared" si="5"/>
        <v>1.3711031695979869E-3</v>
      </c>
      <c r="R73" s="2">
        <f t="shared" si="6"/>
        <v>8.9216879766779176</v>
      </c>
      <c r="S73" s="2">
        <f t="shared" si="7"/>
        <v>1.5870251954357428E-3</v>
      </c>
    </row>
    <row r="74" spans="12:19" x14ac:dyDescent="0.2">
      <c r="L74" s="8">
        <v>73</v>
      </c>
      <c r="M74">
        <v>303.14999999999998</v>
      </c>
      <c r="N74">
        <v>5</v>
      </c>
      <c r="O74" s="2">
        <v>8.8765014861723746</v>
      </c>
      <c r="P74" s="2">
        <f t="shared" si="4"/>
        <v>8.8750412918313799</v>
      </c>
      <c r="Q74" s="2">
        <f t="shared" si="5"/>
        <v>1.4601943409946472E-3</v>
      </c>
      <c r="R74" s="2">
        <f t="shared" si="6"/>
        <v>8.8748253804528137</v>
      </c>
      <c r="S74" s="2">
        <f t="shared" si="7"/>
        <v>1.6761057195608942E-3</v>
      </c>
    </row>
    <row r="75" spans="12:19" x14ac:dyDescent="0.2">
      <c r="L75" s="8">
        <v>74</v>
      </c>
      <c r="M75">
        <v>308.14999999999998</v>
      </c>
      <c r="N75">
        <v>5</v>
      </c>
      <c r="O75" s="2">
        <v>8.8322034490182428</v>
      </c>
      <c r="P75" s="2">
        <f t="shared" si="4"/>
        <v>8.8309005300516841</v>
      </c>
      <c r="Q75" s="2">
        <f t="shared" si="5"/>
        <v>1.3029189665587637E-3</v>
      </c>
      <c r="R75" s="2">
        <f t="shared" si="6"/>
        <v>8.8306846410681583</v>
      </c>
      <c r="S75" s="2">
        <f t="shared" si="7"/>
        <v>1.518807950084522E-3</v>
      </c>
    </row>
    <row r="76" spans="12:19" x14ac:dyDescent="0.2">
      <c r="L76" s="8">
        <v>75</v>
      </c>
      <c r="M76">
        <v>313.14999999999998</v>
      </c>
      <c r="N76">
        <v>5</v>
      </c>
      <c r="O76" s="2">
        <v>8.7895991603435313</v>
      </c>
      <c r="P76" s="2">
        <f t="shared" si="4"/>
        <v>8.7891835576276645</v>
      </c>
      <c r="Q76" s="2">
        <f t="shared" si="5"/>
        <v>4.1560271586682518E-4</v>
      </c>
      <c r="R76" s="2">
        <f t="shared" si="6"/>
        <v>8.7889677022890336</v>
      </c>
      <c r="S76" s="2">
        <f t="shared" si="7"/>
        <v>6.3145805449771331E-4</v>
      </c>
    </row>
    <row r="77" spans="12:19" x14ac:dyDescent="0.2">
      <c r="L77" s="8">
        <v>76</v>
      </c>
      <c r="M77">
        <v>318.14999999999998</v>
      </c>
      <c r="N77">
        <v>5</v>
      </c>
      <c r="O77" s="2">
        <v>8.7489057673891981</v>
      </c>
      <c r="P77" s="2">
        <f t="shared" si="4"/>
        <v>8.7496168496654043</v>
      </c>
      <c r="Q77" s="2">
        <f t="shared" si="5"/>
        <v>-7.1108227620619857E-4</v>
      </c>
      <c r="R77" s="2">
        <f t="shared" si="6"/>
        <v>8.7494010387527634</v>
      </c>
      <c r="S77" s="2">
        <f t="shared" si="7"/>
        <v>-4.9527136356530832E-4</v>
      </c>
    </row>
    <row r="78" spans="12:19" x14ac:dyDescent="0.2">
      <c r="L78" s="8">
        <v>77</v>
      </c>
      <c r="M78">
        <v>273.14999999999998</v>
      </c>
      <c r="N78">
        <v>15</v>
      </c>
      <c r="O78" s="2">
        <v>9.0580365796079327</v>
      </c>
      <c r="P78" s="2">
        <f t="shared" si="4"/>
        <v>9.0586871809689633</v>
      </c>
      <c r="Q78" s="2">
        <f t="shared" si="5"/>
        <v>-6.506013610305672E-4</v>
      </c>
      <c r="R78" s="2">
        <f t="shared" si="6"/>
        <v>9.0585006245640827</v>
      </c>
      <c r="S78" s="2">
        <f t="shared" si="7"/>
        <v>-4.640449561499338E-4</v>
      </c>
    </row>
    <row r="79" spans="12:19" x14ac:dyDescent="0.2">
      <c r="L79" s="8">
        <v>78</v>
      </c>
      <c r="M79">
        <v>278.14999999999998</v>
      </c>
      <c r="N79">
        <v>15</v>
      </c>
      <c r="O79" s="2">
        <v>8.9911986588430217</v>
      </c>
      <c r="P79" s="2">
        <f t="shared" si="4"/>
        <v>8.9911866309091799</v>
      </c>
      <c r="Q79" s="2">
        <f t="shared" si="5"/>
        <v>1.2027933841807226E-5</v>
      </c>
      <c r="R79" s="2">
        <f t="shared" si="6"/>
        <v>8.9910002753461864</v>
      </c>
      <c r="S79" s="2">
        <f t="shared" si="7"/>
        <v>1.9838349683531931E-4</v>
      </c>
    </row>
    <row r="80" spans="12:19" x14ac:dyDescent="0.2">
      <c r="L80" s="8">
        <v>79</v>
      </c>
      <c r="M80">
        <v>283.14999999999998</v>
      </c>
      <c r="N80">
        <v>15</v>
      </c>
      <c r="O80" s="2">
        <v>8.9279219528297187</v>
      </c>
      <c r="P80" s="2">
        <f t="shared" si="4"/>
        <v>8.9278341884931365</v>
      </c>
      <c r="Q80" s="2">
        <f t="shared" si="5"/>
        <v>8.7764336582196734E-5</v>
      </c>
      <c r="R80" s="2">
        <f t="shared" si="6"/>
        <v>8.9276480563737142</v>
      </c>
      <c r="S80" s="2">
        <f t="shared" si="7"/>
        <v>2.7389645600450763E-4</v>
      </c>
    </row>
    <row r="81" spans="12:19" x14ac:dyDescent="0.2">
      <c r="L81" s="8">
        <v>80</v>
      </c>
      <c r="M81">
        <v>288.14999999999998</v>
      </c>
      <c r="N81">
        <v>15</v>
      </c>
      <c r="O81" s="2">
        <v>8.8682498910162124</v>
      </c>
      <c r="P81" s="2">
        <f t="shared" si="4"/>
        <v>8.8680732261063255</v>
      </c>
      <c r="Q81" s="2">
        <f t="shared" si="5"/>
        <v>1.7666490988688111E-4</v>
      </c>
      <c r="R81" s="2">
        <f t="shared" si="6"/>
        <v>8.8678873389487727</v>
      </c>
      <c r="S81" s="2">
        <f t="shared" si="7"/>
        <v>3.6255206743973645E-4</v>
      </c>
    </row>
    <row r="82" spans="12:19" x14ac:dyDescent="0.2">
      <c r="L82" s="8">
        <v>81</v>
      </c>
      <c r="M82">
        <v>293.14999999999998</v>
      </c>
      <c r="N82">
        <v>15</v>
      </c>
      <c r="O82" s="2">
        <v>8.8115310316796478</v>
      </c>
      <c r="P82" s="2">
        <f t="shared" si="4"/>
        <v>8.8113980154427463</v>
      </c>
      <c r="Q82" s="2">
        <f t="shared" si="5"/>
        <v>1.3301623690153974E-4</v>
      </c>
      <c r="R82" s="2">
        <f t="shared" si="6"/>
        <v>8.8112123937524771</v>
      </c>
      <c r="S82" s="2">
        <f t="shared" si="7"/>
        <v>3.1863792717068407E-4</v>
      </c>
    </row>
    <row r="83" spans="12:19" x14ac:dyDescent="0.2">
      <c r="L83" s="8">
        <v>82</v>
      </c>
      <c r="M83">
        <v>298.14999999999998</v>
      </c>
      <c r="N83">
        <v>15</v>
      </c>
      <c r="O83" s="2">
        <v>8.7573310803381208</v>
      </c>
      <c r="P83" s="2">
        <f t="shared" si="4"/>
        <v>8.75734875926881</v>
      </c>
      <c r="Q83" s="2">
        <f t="shared" si="5"/>
        <v>-1.7678930689157824E-5</v>
      </c>
      <c r="R83" s="2">
        <f t="shared" si="6"/>
        <v>8.7571634226031474</v>
      </c>
      <c r="S83" s="2">
        <f t="shared" si="7"/>
        <v>1.6765773497340319E-4</v>
      </c>
    </row>
    <row r="84" spans="12:19" x14ac:dyDescent="0.2">
      <c r="L84" s="8">
        <v>83</v>
      </c>
      <c r="M84">
        <v>303.14999999999998</v>
      </c>
      <c r="N84">
        <v>15</v>
      </c>
      <c r="O84" s="2">
        <v>8.7052591719579215</v>
      </c>
      <c r="P84" s="2">
        <f t="shared" si="4"/>
        <v>8.7055071637461428</v>
      </c>
      <c r="Q84" s="2">
        <f t="shared" si="5"/>
        <v>-2.4799178822121348E-4</v>
      </c>
      <c r="R84" s="2">
        <f t="shared" si="6"/>
        <v>8.7053221307741637</v>
      </c>
      <c r="S84" s="2">
        <f t="shared" si="7"/>
        <v>-6.2958816242186799E-5</v>
      </c>
    </row>
    <row r="85" spans="12:19" x14ac:dyDescent="0.2">
      <c r="L85" s="8">
        <v>84</v>
      </c>
      <c r="M85">
        <v>308.14999999999998</v>
      </c>
      <c r="N85">
        <v>15</v>
      </c>
      <c r="O85" s="2">
        <v>8.6547507237125743</v>
      </c>
      <c r="P85" s="2">
        <f t="shared" si="4"/>
        <v>8.6554924857660058</v>
      </c>
      <c r="Q85" s="2">
        <f t="shared" si="5"/>
        <v>-7.4176205343157164E-4</v>
      </c>
      <c r="R85" s="2">
        <f t="shared" si="6"/>
        <v>8.6553077743231874</v>
      </c>
      <c r="S85" s="2">
        <f t="shared" si="7"/>
        <v>-5.5705061061317451E-4</v>
      </c>
    </row>
    <row r="86" spans="12:19" x14ac:dyDescent="0.2">
      <c r="L86" s="8">
        <v>85</v>
      </c>
      <c r="M86">
        <v>313.14999999999998</v>
      </c>
      <c r="N86">
        <v>15</v>
      </c>
      <c r="O86" s="2">
        <v>8.6058925944984566</v>
      </c>
      <c r="P86" s="2">
        <f t="shared" si="4"/>
        <v>8.6069579985296603</v>
      </c>
      <c r="Q86" s="2">
        <f t="shared" si="5"/>
        <v>-1.0654040312036983E-3</v>
      </c>
      <c r="R86" s="2">
        <f t="shared" si="6"/>
        <v>8.6067736256690299</v>
      </c>
      <c r="S86" s="2">
        <f t="shared" si="7"/>
        <v>-8.8103117057336533E-4</v>
      </c>
    </row>
    <row r="87" spans="12:19" x14ac:dyDescent="0.2">
      <c r="L87" s="8">
        <v>86</v>
      </c>
      <c r="M87">
        <v>318.14999999999998</v>
      </c>
      <c r="N87">
        <v>15</v>
      </c>
      <c r="O87" s="2">
        <v>8.5579899131445298</v>
      </c>
      <c r="P87" s="2">
        <f t="shared" si="4"/>
        <v>8.5595878261094622</v>
      </c>
      <c r="Q87" s="2">
        <f t="shared" si="5"/>
        <v>-1.5979129649323909E-3</v>
      </c>
      <c r="R87" s="2">
        <f t="shared" si="6"/>
        <v>8.5594038081484349</v>
      </c>
      <c r="S87" s="2">
        <f t="shared" si="7"/>
        <v>-1.4138950039050968E-3</v>
      </c>
    </row>
    <row r="88" spans="12:19" x14ac:dyDescent="0.2">
      <c r="L88" s="8">
        <v>87</v>
      </c>
      <c r="M88">
        <v>273.14999999999998</v>
      </c>
      <c r="N88">
        <v>25</v>
      </c>
      <c r="O88" s="2">
        <v>8.9755640574945055</v>
      </c>
      <c r="P88" s="2">
        <f t="shared" si="4"/>
        <v>8.9729654658241813</v>
      </c>
      <c r="Q88" s="2">
        <f t="shared" si="5"/>
        <v>2.5985916703241685E-3</v>
      </c>
      <c r="R88" s="2">
        <f t="shared" si="6"/>
        <v>8.9728101278355918</v>
      </c>
      <c r="S88" s="2">
        <f t="shared" si="7"/>
        <v>2.7539296589136342E-3</v>
      </c>
    </row>
    <row r="89" spans="12:19" x14ac:dyDescent="0.2">
      <c r="L89" s="8">
        <v>88</v>
      </c>
      <c r="M89">
        <v>278.14999999999998</v>
      </c>
      <c r="N89">
        <v>25</v>
      </c>
      <c r="O89" s="2">
        <v>8.9075969710766447</v>
      </c>
      <c r="P89" s="2">
        <f t="shared" si="4"/>
        <v>8.9047082381359726</v>
      </c>
      <c r="Q89" s="2">
        <f t="shared" si="5"/>
        <v>2.8887329406721562E-3</v>
      </c>
      <c r="R89" s="2">
        <f t="shared" si="6"/>
        <v>8.9045533422095655</v>
      </c>
      <c r="S89" s="2">
        <f t="shared" si="7"/>
        <v>3.0436288670792067E-3</v>
      </c>
    </row>
    <row r="90" spans="12:19" x14ac:dyDescent="0.2">
      <c r="L90" s="8">
        <v>89</v>
      </c>
      <c r="M90">
        <v>283.14999999999998</v>
      </c>
      <c r="N90">
        <v>25</v>
      </c>
      <c r="O90" s="2">
        <v>8.842930522721252</v>
      </c>
      <c r="P90" s="2">
        <f t="shared" si="4"/>
        <v>8.8402358492856923</v>
      </c>
      <c r="Q90" s="2">
        <f t="shared" si="5"/>
        <v>2.6946734355597357E-3</v>
      </c>
      <c r="R90" s="2">
        <f t="shared" si="6"/>
        <v>8.8400814234165086</v>
      </c>
      <c r="S90" s="2">
        <f t="shared" si="7"/>
        <v>2.8490993047434188E-3</v>
      </c>
    </row>
    <row r="91" spans="12:19" x14ac:dyDescent="0.2">
      <c r="L91" s="8">
        <v>90</v>
      </c>
      <c r="M91">
        <v>288.14999999999998</v>
      </c>
      <c r="N91">
        <v>25</v>
      </c>
      <c r="O91" s="2">
        <v>8.7819555774620355</v>
      </c>
      <c r="P91" s="2">
        <f t="shared" si="4"/>
        <v>8.7789274347988879</v>
      </c>
      <c r="Q91" s="2">
        <f t="shared" si="5"/>
        <v>3.0281426631475483E-3</v>
      </c>
      <c r="R91" s="2">
        <f t="shared" si="6"/>
        <v>8.7787735056239242</v>
      </c>
      <c r="S91" s="2">
        <f t="shared" si="7"/>
        <v>3.1820718381112556E-3</v>
      </c>
    </row>
    <row r="92" spans="12:19" x14ac:dyDescent="0.2">
      <c r="L92" s="8">
        <v>91</v>
      </c>
      <c r="M92">
        <v>293.14999999999998</v>
      </c>
      <c r="N92">
        <v>25</v>
      </c>
      <c r="O92" s="2">
        <v>8.7231955340605261</v>
      </c>
      <c r="P92" s="2">
        <f t="shared" si="4"/>
        <v>8.7202206271343634</v>
      </c>
      <c r="Q92" s="2">
        <f t="shared" si="5"/>
        <v>2.974906926162646E-3</v>
      </c>
      <c r="R92" s="2">
        <f t="shared" si="6"/>
        <v>8.7200672200220453</v>
      </c>
      <c r="S92" s="2">
        <f t="shared" si="7"/>
        <v>3.128314038480795E-3</v>
      </c>
    </row>
    <row r="93" spans="12:19" x14ac:dyDescent="0.2">
      <c r="L93" s="8">
        <v>92</v>
      </c>
      <c r="M93">
        <v>298.14999999999998</v>
      </c>
      <c r="N93">
        <v>25</v>
      </c>
      <c r="O93" s="2">
        <v>8.6665635336203408</v>
      </c>
      <c r="P93" s="2">
        <f t="shared" si="4"/>
        <v>8.6636057740552506</v>
      </c>
      <c r="Q93" s="2">
        <f t="shared" si="5"/>
        <v>2.9577595650902566E-3</v>
      </c>
      <c r="R93" s="2">
        <f t="shared" si="6"/>
        <v>8.6634529131868199</v>
      </c>
      <c r="S93" s="2">
        <f t="shared" si="7"/>
        <v>3.1106204335209497E-3</v>
      </c>
    </row>
    <row r="94" spans="12:19" x14ac:dyDescent="0.2">
      <c r="L94" s="8">
        <v>93</v>
      </c>
      <c r="M94">
        <v>303.14999999999998</v>
      </c>
      <c r="N94">
        <v>25</v>
      </c>
      <c r="O94" s="2">
        <v>8.6112344166258676</v>
      </c>
      <c r="P94" s="2">
        <f t="shared" si="4"/>
        <v>8.6086207904686276</v>
      </c>
      <c r="Q94" s="2">
        <f t="shared" si="5"/>
        <v>2.6136261572400343E-3</v>
      </c>
      <c r="R94" s="2">
        <f t="shared" si="6"/>
        <v>8.6084684989137621</v>
      </c>
      <c r="S94" s="2">
        <f t="shared" si="7"/>
        <v>2.7659177121055478E-3</v>
      </c>
    </row>
    <row r="95" spans="12:19" x14ac:dyDescent="0.2">
      <c r="L95" s="8">
        <v>94</v>
      </c>
      <c r="M95">
        <v>308.14999999999998</v>
      </c>
      <c r="N95">
        <v>25</v>
      </c>
      <c r="O95" s="2">
        <v>8.5572516125252918</v>
      </c>
      <c r="P95" s="2">
        <f t="shared" si="4"/>
        <v>8.5548465665752147</v>
      </c>
      <c r="Q95" s="2">
        <f t="shared" si="5"/>
        <v>2.4050459500770671E-3</v>
      </c>
      <c r="R95" s="2">
        <f t="shared" si="6"/>
        <v>8.5546948663610198</v>
      </c>
      <c r="S95" s="2">
        <f t="shared" si="7"/>
        <v>2.556746164271928E-3</v>
      </c>
    </row>
    <row r="96" spans="12:19" x14ac:dyDescent="0.2">
      <c r="L96" s="8">
        <v>95</v>
      </c>
      <c r="M96">
        <v>313.14999999999998</v>
      </c>
      <c r="N96">
        <v>25</v>
      </c>
      <c r="O96" s="2">
        <v>8.5040939679403351</v>
      </c>
      <c r="P96" s="2">
        <f t="shared" si="4"/>
        <v>8.5019028655378595</v>
      </c>
      <c r="Q96" s="2">
        <f t="shared" si="5"/>
        <v>2.1911024024756642E-3</v>
      </c>
      <c r="R96" s="2">
        <f t="shared" si="6"/>
        <v>8.5017517777127711</v>
      </c>
      <c r="S96" s="2">
        <f t="shared" si="7"/>
        <v>2.3421902275639894E-3</v>
      </c>
    </row>
    <row r="97" spans="12:19" x14ac:dyDescent="0.2">
      <c r="L97" s="8">
        <v>96</v>
      </c>
      <c r="M97">
        <v>318.14999999999998</v>
      </c>
      <c r="N97">
        <v>25</v>
      </c>
      <c r="O97" s="2">
        <v>8.4514140472854695</v>
      </c>
      <c r="P97" s="2">
        <f t="shared" si="4"/>
        <v>8.4494446527311613</v>
      </c>
      <c r="Q97" s="2">
        <f t="shared" si="5"/>
        <v>1.9693945543082236E-3</v>
      </c>
      <c r="R97" s="2">
        <f t="shared" si="6"/>
        <v>8.4492941974243454</v>
      </c>
      <c r="S97" s="2">
        <f t="shared" si="7"/>
        <v>2.1198498611241234E-3</v>
      </c>
    </row>
    <row r="98" spans="12:19" x14ac:dyDescent="0.2">
      <c r="L98" s="8">
        <v>97</v>
      </c>
      <c r="M98">
        <v>273.14999999999998</v>
      </c>
      <c r="N98">
        <v>35</v>
      </c>
      <c r="O98" s="2">
        <v>8.9108107502427316</v>
      </c>
      <c r="P98" s="2">
        <f t="shared" si="4"/>
        <v>8.9133563811774064</v>
      </c>
      <c r="Q98" s="2">
        <f t="shared" si="5"/>
        <v>-2.5456309346747474E-3</v>
      </c>
      <c r="R98" s="2">
        <f t="shared" si="6"/>
        <v>8.9132306541789195</v>
      </c>
      <c r="S98" s="2">
        <f t="shared" si="7"/>
        <v>-2.4199039361878505E-3</v>
      </c>
    </row>
    <row r="99" spans="12:19" x14ac:dyDescent="0.2">
      <c r="L99" s="8">
        <v>98</v>
      </c>
      <c r="M99">
        <v>278.14999999999998</v>
      </c>
      <c r="N99">
        <v>35</v>
      </c>
      <c r="O99" s="2">
        <v>8.8418013570683041</v>
      </c>
      <c r="P99" s="2">
        <f t="shared" si="4"/>
        <v>8.8446551280895953</v>
      </c>
      <c r="Q99" s="2">
        <f t="shared" si="5"/>
        <v>-2.8537710212912515E-3</v>
      </c>
      <c r="R99" s="2">
        <f t="shared" si="6"/>
        <v>8.8445300775943689</v>
      </c>
      <c r="S99" s="2">
        <f t="shared" si="7"/>
        <v>-2.7287205260648761E-3</v>
      </c>
    </row>
    <row r="100" spans="12:19" x14ac:dyDescent="0.2">
      <c r="L100" s="8">
        <v>99</v>
      </c>
      <c r="M100">
        <v>283.14999999999998</v>
      </c>
      <c r="N100">
        <v>35</v>
      </c>
      <c r="O100" s="2">
        <v>8.7766571847828168</v>
      </c>
      <c r="P100" s="2">
        <f t="shared" si="4"/>
        <v>8.779443435852885</v>
      </c>
      <c r="Q100" s="2">
        <f t="shared" si="5"/>
        <v>-2.7862510700682463E-3</v>
      </c>
      <c r="R100" s="2">
        <f t="shared" si="6"/>
        <v>8.7793190942399555</v>
      </c>
      <c r="S100" s="2">
        <f t="shared" si="7"/>
        <v>-2.6619094571387336E-3</v>
      </c>
    </row>
    <row r="101" spans="12:19" x14ac:dyDescent="0.2">
      <c r="L101" s="8">
        <v>100</v>
      </c>
      <c r="M101">
        <v>288.14999999999998</v>
      </c>
      <c r="N101">
        <v>35</v>
      </c>
      <c r="O101" s="2">
        <v>8.713814773251416</v>
      </c>
      <c r="P101" s="2">
        <f t="shared" si="4"/>
        <v>8.7170482259558284</v>
      </c>
      <c r="Q101" s="2">
        <f t="shared" si="5"/>
        <v>-3.2334527044124428E-3</v>
      </c>
      <c r="R101" s="2">
        <f t="shared" si="6"/>
        <v>8.7169246240230809</v>
      </c>
      <c r="S101" s="2">
        <f t="shared" si="7"/>
        <v>-3.1098507716649237E-3</v>
      </c>
    </row>
    <row r="102" spans="12:19" x14ac:dyDescent="0.2">
      <c r="L102" s="8">
        <v>101</v>
      </c>
      <c r="M102">
        <v>293.14999999999998</v>
      </c>
      <c r="N102">
        <v>35</v>
      </c>
      <c r="O102" s="2">
        <v>8.6538387053005774</v>
      </c>
      <c r="P102" s="2">
        <f t="shared" si="4"/>
        <v>8.6568610924447267</v>
      </c>
      <c r="Q102" s="2">
        <f t="shared" si="5"/>
        <v>-3.0223871441492633E-3</v>
      </c>
      <c r="R102" s="2">
        <f t="shared" si="6"/>
        <v>8.6567382595131335</v>
      </c>
      <c r="S102" s="2">
        <f t="shared" si="7"/>
        <v>-2.8995542125560547E-3</v>
      </c>
    </row>
    <row r="103" spans="12:19" x14ac:dyDescent="0.2">
      <c r="L103" s="8">
        <v>102</v>
      </c>
      <c r="M103">
        <v>298.14999999999998</v>
      </c>
      <c r="N103">
        <v>35</v>
      </c>
      <c r="O103" s="2">
        <v>8.5949483735544963</v>
      </c>
      <c r="P103" s="2">
        <f t="shared" si="4"/>
        <v>8.598331859137522</v>
      </c>
      <c r="Q103" s="2">
        <f t="shared" si="5"/>
        <v>-3.3834855830257027E-3</v>
      </c>
      <c r="R103" s="2">
        <f t="shared" si="6"/>
        <v>8.5982098231468722</v>
      </c>
      <c r="S103" s="2">
        <f t="shared" si="7"/>
        <v>-3.2614495923759534E-3</v>
      </c>
    </row>
    <row r="104" spans="12:19" x14ac:dyDescent="0.2">
      <c r="L104" s="8">
        <v>103</v>
      </c>
      <c r="M104">
        <v>303.14999999999998</v>
      </c>
      <c r="N104">
        <v>35</v>
      </c>
      <c r="O104" s="2">
        <v>8.5373174958059348</v>
      </c>
      <c r="P104" s="2">
        <f t="shared" si="4"/>
        <v>8.5409628458305171</v>
      </c>
      <c r="Q104" s="2">
        <f t="shared" si="5"/>
        <v>-3.6453500245823278E-3</v>
      </c>
      <c r="R104" s="2">
        <f t="shared" si="6"/>
        <v>8.5408416334275206</v>
      </c>
      <c r="S104" s="2">
        <f t="shared" si="7"/>
        <v>-3.5241376215857656E-3</v>
      </c>
    </row>
    <row r="105" spans="12:19" x14ac:dyDescent="0.2">
      <c r="L105" s="8">
        <v>104</v>
      </c>
      <c r="M105">
        <v>308.14999999999998</v>
      </c>
      <c r="N105">
        <v>35</v>
      </c>
      <c r="O105" s="2">
        <v>8.4804249186766079</v>
      </c>
      <c r="P105" s="2">
        <f t="shared" si="4"/>
        <v>8.4843037568945068</v>
      </c>
      <c r="Q105" s="2">
        <f t="shared" si="5"/>
        <v>-3.8788382178989167E-3</v>
      </c>
      <c r="R105" s="2">
        <f t="shared" si="6"/>
        <v>8.4841833935130779</v>
      </c>
      <c r="S105" s="2">
        <f t="shared" si="7"/>
        <v>-3.7584748364700715E-3</v>
      </c>
    </row>
    <row r="106" spans="12:19" x14ac:dyDescent="0.2">
      <c r="L106" s="8">
        <v>105</v>
      </c>
      <c r="M106">
        <v>313.14999999999998</v>
      </c>
      <c r="N106">
        <v>35</v>
      </c>
      <c r="O106" s="2">
        <v>8.4243575010628984</v>
      </c>
      <c r="P106" s="2">
        <f t="shared" si="4"/>
        <v>8.4279471173242939</v>
      </c>
      <c r="Q106" s="2">
        <f t="shared" si="5"/>
        <v>-3.589616261395534E-3</v>
      </c>
      <c r="R106" s="2">
        <f t="shared" si="6"/>
        <v>8.4278276272610082</v>
      </c>
      <c r="S106" s="2">
        <f t="shared" si="7"/>
        <v>-3.4701261981098241E-3</v>
      </c>
    </row>
    <row r="107" spans="12:19" x14ac:dyDescent="0.2">
      <c r="L107" s="8">
        <v>106</v>
      </c>
      <c r="M107">
        <v>318.14999999999998</v>
      </c>
      <c r="N107">
        <v>35</v>
      </c>
      <c r="O107" s="2">
        <v>8.3684638012419512</v>
      </c>
      <c r="P107" s="2">
        <f t="shared" si="4"/>
        <v>8.3715241912537461</v>
      </c>
      <c r="Q107" s="2">
        <f t="shared" si="5"/>
        <v>-3.0603900117949223E-3</v>
      </c>
      <c r="R107" s="2">
        <f t="shared" si="6"/>
        <v>8.3714055977357411</v>
      </c>
      <c r="S107" s="2">
        <f t="shared" si="7"/>
        <v>-2.9417964937898944E-3</v>
      </c>
    </row>
    <row r="108" spans="12:19" x14ac:dyDescent="0.2">
      <c r="L108" s="8">
        <v>107</v>
      </c>
      <c r="M108">
        <v>273.14999999999998</v>
      </c>
      <c r="N108">
        <v>45</v>
      </c>
      <c r="O108" s="2">
        <v>8.869856780599255</v>
      </c>
      <c r="P108" s="2">
        <f t="shared" si="4"/>
        <v>8.8688993454314176</v>
      </c>
      <c r="Q108" s="2">
        <f t="shared" si="5"/>
        <v>9.5743516783741711E-4</v>
      </c>
      <c r="R108" s="2">
        <f t="shared" si="6"/>
        <v>8.868801715913758</v>
      </c>
      <c r="S108" s="2">
        <f t="shared" si="7"/>
        <v>1.055064685496987E-3</v>
      </c>
    </row>
    <row r="109" spans="12:19" x14ac:dyDescent="0.2">
      <c r="L109" s="8">
        <v>108</v>
      </c>
      <c r="M109">
        <v>278.14999999999998</v>
      </c>
      <c r="N109">
        <v>45</v>
      </c>
      <c r="O109" s="2">
        <v>8.8010645346657785</v>
      </c>
      <c r="P109" s="2">
        <f t="shared" si="4"/>
        <v>8.7999377949240181</v>
      </c>
      <c r="Q109" s="2">
        <f t="shared" si="5"/>
        <v>1.1267397417604741E-3</v>
      </c>
      <c r="R109" s="2">
        <f t="shared" si="6"/>
        <v>8.7998410723671299</v>
      </c>
      <c r="S109" s="2">
        <f t="shared" si="7"/>
        <v>1.2234622986486698E-3</v>
      </c>
    </row>
    <row r="110" spans="12:19" x14ac:dyDescent="0.2">
      <c r="L110" s="8">
        <v>109</v>
      </c>
      <c r="M110">
        <v>283.14999999999998</v>
      </c>
      <c r="N110">
        <v>45</v>
      </c>
      <c r="O110" s="2">
        <v>8.7351820617610567</v>
      </c>
      <c r="P110" s="2">
        <f t="shared" si="4"/>
        <v>8.7342104816284323</v>
      </c>
      <c r="Q110" s="2">
        <f t="shared" si="5"/>
        <v>9.7158013262443887E-4</v>
      </c>
      <c r="R110" s="2">
        <f t="shared" si="6"/>
        <v>8.7341147022020174</v>
      </c>
      <c r="S110" s="2">
        <f t="shared" si="7"/>
        <v>1.0673595590393603E-3</v>
      </c>
    </row>
    <row r="111" spans="12:19" x14ac:dyDescent="0.2">
      <c r="L111" s="8">
        <v>110</v>
      </c>
      <c r="M111">
        <v>288.14999999999998</v>
      </c>
      <c r="N111">
        <v>45</v>
      </c>
      <c r="O111" s="2">
        <v>8.6712973434730873</v>
      </c>
      <c r="P111" s="2">
        <f t="shared" si="4"/>
        <v>8.6709991781275502</v>
      </c>
      <c r="Q111" s="2">
        <f t="shared" si="5"/>
        <v>2.9816534553717133E-4</v>
      </c>
      <c r="R111" s="2">
        <f t="shared" si="6"/>
        <v>8.6709043762272131</v>
      </c>
      <c r="S111" s="2">
        <f t="shared" si="7"/>
        <v>3.9296724587423171E-4</v>
      </c>
    </row>
    <row r="112" spans="12:19" x14ac:dyDescent="0.2">
      <c r="L112" s="8">
        <v>111</v>
      </c>
      <c r="M112">
        <v>293.14999999999998</v>
      </c>
      <c r="N112">
        <v>45</v>
      </c>
      <c r="O112" s="2">
        <v>8.6100183920765385</v>
      </c>
      <c r="P112" s="2">
        <f t="shared" si="4"/>
        <v>8.6096556695569291</v>
      </c>
      <c r="Q112" s="2">
        <f t="shared" si="5"/>
        <v>3.6272251960944857E-4</v>
      </c>
      <c r="R112" s="2">
        <f t="shared" si="6"/>
        <v>8.6095618779214096</v>
      </c>
      <c r="S112" s="2">
        <f t="shared" si="7"/>
        <v>4.5651415512892868E-4</v>
      </c>
    </row>
    <row r="113" spans="12:19" x14ac:dyDescent="0.2">
      <c r="L113" s="8">
        <v>112</v>
      </c>
      <c r="M113">
        <v>298.14999999999998</v>
      </c>
      <c r="N113">
        <v>45</v>
      </c>
      <c r="O113" s="2">
        <v>8.5497383179883677</v>
      </c>
      <c r="P113" s="2">
        <f t="shared" si="4"/>
        <v>8.549594739123048</v>
      </c>
      <c r="Q113" s="2">
        <f t="shared" si="5"/>
        <v>1.4357886531968234E-4</v>
      </c>
      <c r="R113" s="2">
        <f t="shared" si="6"/>
        <v>8.5495019889425645</v>
      </c>
      <c r="S113" s="2">
        <f t="shared" si="7"/>
        <v>2.3632904580317415E-4</v>
      </c>
    </row>
    <row r="114" spans="12:19" x14ac:dyDescent="0.2">
      <c r="L114" s="8">
        <v>113</v>
      </c>
      <c r="M114">
        <v>303.14999999999998</v>
      </c>
      <c r="N114">
        <v>45</v>
      </c>
      <c r="O114" s="2">
        <v>8.4905439801049543</v>
      </c>
      <c r="P114" s="2">
        <f t="shared" si="4"/>
        <v>8.4902879279201997</v>
      </c>
      <c r="Q114" s="2">
        <f t="shared" si="5"/>
        <v>2.560521847545516E-4</v>
      </c>
      <c r="R114" s="2">
        <f t="shared" si="6"/>
        <v>8.4901962489338576</v>
      </c>
      <c r="S114" s="2">
        <f t="shared" si="7"/>
        <v>3.4773117109665463E-4</v>
      </c>
    </row>
    <row r="115" spans="12:19" x14ac:dyDescent="0.2">
      <c r="L115" s="8">
        <v>114</v>
      </c>
      <c r="M115">
        <v>308.14999999999998</v>
      </c>
      <c r="N115">
        <v>45</v>
      </c>
      <c r="O115" s="2">
        <v>8.4315233600143031</v>
      </c>
      <c r="P115" s="2">
        <f t="shared" si="4"/>
        <v>8.4312579742736382</v>
      </c>
      <c r="Q115" s="2">
        <f t="shared" si="5"/>
        <v>2.6538574066492515E-4</v>
      </c>
      <c r="R115" s="2">
        <f t="shared" si="6"/>
        <v>8.4311673948617649</v>
      </c>
      <c r="S115" s="2">
        <f t="shared" si="7"/>
        <v>3.5596515253821792E-4</v>
      </c>
    </row>
    <row r="116" spans="12:19" x14ac:dyDescent="0.2">
      <c r="L116" s="8">
        <v>115</v>
      </c>
      <c r="M116">
        <v>313.14999999999998</v>
      </c>
      <c r="N116">
        <v>45</v>
      </c>
      <c r="O116" s="2">
        <v>8.3733278994392659</v>
      </c>
      <c r="P116" s="2">
        <f t="shared" si="4"/>
        <v>8.3720738506331287</v>
      </c>
      <c r="Q116" s="2">
        <f t="shared" si="5"/>
        <v>1.2540488061372201E-3</v>
      </c>
      <c r="R116" s="2">
        <f t="shared" si="6"/>
        <v>8.3719843979003787</v>
      </c>
      <c r="S116" s="2">
        <f t="shared" si="7"/>
        <v>1.3435015388871818E-3</v>
      </c>
    </row>
    <row r="117" spans="12:19" x14ac:dyDescent="0.2">
      <c r="L117" s="8">
        <v>116</v>
      </c>
      <c r="M117">
        <v>318.14999999999998</v>
      </c>
      <c r="N117">
        <v>45</v>
      </c>
      <c r="O117" s="2">
        <v>8.3150890094160399</v>
      </c>
      <c r="P117" s="2">
        <f t="shared" si="4"/>
        <v>8.3123463269288713</v>
      </c>
      <c r="Q117" s="2">
        <f t="shared" si="5"/>
        <v>2.7426824871685795E-3</v>
      </c>
      <c r="R117" s="2">
        <f t="shared" si="6"/>
        <v>8.3122580267813984</v>
      </c>
      <c r="S117" s="2">
        <f t="shared" si="7"/>
        <v>2.8309826346415434E-3</v>
      </c>
    </row>
    <row r="120" spans="12:19" x14ac:dyDescent="0.2">
      <c r="S120">
        <f>STDEV(S2:S117)</f>
        <v>1.9600791412906519E-3</v>
      </c>
    </row>
  </sheetData>
  <conditionalFormatting sqref="Q1">
    <cfRule type="top10" dxfId="13" priority="9" bottom="1" rank="3"/>
    <cfRule type="top10" dxfId="12" priority="10" rank="3"/>
  </conditionalFormatting>
  <conditionalFormatting sqref="Q1:Q117">
    <cfRule type="top10" dxfId="11" priority="7" bottom="1" rank="3"/>
    <cfRule type="top10" dxfId="10" priority="8" rank="3"/>
  </conditionalFormatting>
  <conditionalFormatting sqref="S1">
    <cfRule type="top10" dxfId="9" priority="3" bottom="1" rank="3"/>
    <cfRule type="top10" dxfId="8" priority="4" rank="3"/>
  </conditionalFormatting>
  <conditionalFormatting sqref="S1:S117">
    <cfRule type="top10" dxfId="7" priority="1" bottom="1" rank="3"/>
    <cfRule type="top10" dxfId="6" priority="2" rank="3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1bf7de-e2e5-46df-8d67-82607df9deaa}" enabled="0" method="" siteId="{741bf7de-e2e5-46df-8d67-82607df9d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model1</vt:lpstr>
      <vt:lpstr>model2</vt:lpstr>
      <vt:lpstr>model2_mac</vt:lpstr>
      <vt:lpstr>model3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Macarena Martin Mayor</dc:creator>
  <cp:lastModifiedBy>Macarena Martin Mayor</cp:lastModifiedBy>
  <dcterms:created xsi:type="dcterms:W3CDTF">2026-01-08T13:51:25Z</dcterms:created>
  <dcterms:modified xsi:type="dcterms:W3CDTF">2026-04-13T14:49:14Z</dcterms:modified>
</cp:coreProperties>
</file>